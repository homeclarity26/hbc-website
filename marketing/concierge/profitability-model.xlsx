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Tier Economics" sheetId="2" state="visible" r:id="rId4"/>
    <sheet name="2. Vendor Pass-Through" sheetId="3" state="visible" r:id="rId5"/>
    <sheet name="3. Scenario Analysis" sheetId="4" state="visible" r:id="rId6"/>
    <sheet name="4. Sensitivity" sheetId="5" state="visible" r:id="rId7"/>
    <sheet name="5. 36-Month Forecast" sheetId="6" state="visible" r:id="rId8"/>
    <sheet name="6. 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<sst xmlns="http://schemas.openxmlformats.org/spreadsheetml/2006/main" count="373" uniqueCount="266">
  <si>
    <t xml:space="preserve">HBC Concierge — Profitability Model</t>
  </si>
  <si>
    <t xml:space="preserve">Hometown Builders Club  |  Management-fee model  |  Vendor invoices pass through at cost</t>
  </si>
  <si>
    <t xml:space="preserve">TIER ECONOMICS (per customer, annual)</t>
  </si>
  <si>
    <t xml:space="preserve">Metric</t>
  </si>
  <si>
    <t xml:space="preserve">Essentials</t>
  </si>
  <si>
    <t xml:space="preserve">Comfort</t>
  </si>
  <si>
    <t xml:space="preserve">Premier</t>
  </si>
  <si>
    <t xml:space="preserve">Snowbird</t>
  </si>
  <si>
    <t xml:space="preserve">Monthly fee</t>
  </si>
  <si>
    <t xml:space="preserve">Months billed</t>
  </si>
  <si>
    <t xml:space="preserve">Annual mgmt fee revenue</t>
  </si>
  <si>
    <t xml:space="preserve">Annual add-on revenue</t>
  </si>
  <si>
    <t xml:space="preserve">TOTAL HBC ANNUAL REVENUE</t>
  </si>
  <si>
    <t xml:space="preserve">HBC direct cost</t>
  </si>
  <si>
    <t xml:space="preserve">Annual contribution</t>
  </si>
  <si>
    <t xml:space="preserve">Contribution margin %</t>
  </si>
  <si>
    <t xml:space="preserve">Customer LTV (after CAC)</t>
  </si>
  <si>
    <t xml:space="preserve">LTV : CAC ratio</t>
  </si>
  <si>
    <t xml:space="preserve">BUSINESS SCENARIOS (year 1)</t>
  </si>
  <si>
    <t xml:space="preserve">Conservative</t>
  </si>
  <si>
    <t xml:space="preserve">Base</t>
  </si>
  <si>
    <t xml:space="preserve">Stretch</t>
  </si>
  <si>
    <t xml:space="preserve">Total customers (yr 1 end)</t>
  </si>
  <si>
    <t xml:space="preserve">Total HBC annual revenue</t>
  </si>
  <si>
    <t xml:space="preserve">Annual contribution (per-cust subtotal)</t>
  </si>
  <si>
    <t xml:space="preserve">Net contribution (yr 1, after fixed)</t>
  </si>
  <si>
    <t xml:space="preserve">36-MONTH FORECAST (Base scenario)</t>
  </si>
  <si>
    <t xml:space="preserve">Year 1 ending customers</t>
  </si>
  <si>
    <t xml:space="preserve">Year 2 ending customers</t>
  </si>
  <si>
    <t xml:space="preserve">Year 3 ending customers</t>
  </si>
  <si>
    <t xml:space="preserve">Year 1 net contribution</t>
  </si>
  <si>
    <t xml:space="preserve">Year 2 net contribution</t>
  </si>
  <si>
    <t xml:space="preserve">Year 3 net contribution</t>
  </si>
  <si>
    <t xml:space="preserve">3-year cumulative contribution</t>
  </si>
  <si>
    <t xml:space="preserve">Tabs: 1) Tier Economics  2) Vendor Pass-Through Reference  3) Scenarios  4) Sensitivity  5) 36-Month Forecast  6) Assumptions</t>
  </si>
  <si>
    <t xml:space="preserve">Per-Customer Tier Economics</t>
  </si>
  <si>
    <t xml:space="preserve">Management-fee model. Vendor invoices pass through at cost. HBC earns the management fee + add-on margin.</t>
  </si>
  <si>
    <t xml:space="preserve">Line item</t>
  </si>
  <si>
    <t xml:space="preserve">Notes</t>
  </si>
  <si>
    <t xml:space="preserve">REVENUE</t>
  </si>
  <si>
    <t xml:space="preserve">Monthly management fee</t>
  </si>
  <si>
    <t xml:space="preserve">Pulled from Assumptions</t>
  </si>
  <si>
    <t xml:space="preserve">Months billed/yr</t>
  </si>
  <si>
    <t xml:space="preserve">Snowbird is Nov-Apr only</t>
  </si>
  <si>
    <t xml:space="preserve">Annual management fee revenue</t>
  </si>
  <si>
    <t xml:space="preserve">Add-on / project mgmt revenue (annual)</t>
  </si>
  <si>
    <t xml:space="preserve">Penetration scales by tier</t>
  </si>
  <si>
    <t xml:space="preserve">Vendor pass-through volume (annual, info only)</t>
  </si>
  <si>
    <t xml:space="preserve">Pass-through is revenue-neutral (cost+0%)</t>
  </si>
  <si>
    <t xml:space="preserve">Vendor management fee (if charged)</t>
  </si>
  <si>
    <t xml:space="preserve">TOTAL ANNUAL HBC REVENUE</t>
  </si>
  <si>
    <t xml:space="preserve">HBC DIRECT COST (excluding pass-through)</t>
  </si>
  <si>
    <t xml:space="preserve">Adam's coordination time hrs/yr per cust</t>
  </si>
  <si>
    <t xml:space="preserve">Year 1 lean launch (Adam-only)</t>
  </si>
  <si>
    <t xml:space="preserve">Adam's effective rate $/hr</t>
  </si>
  <si>
    <t xml:space="preserve">Owner opportunity-cost rate</t>
  </si>
  <si>
    <t xml:space="preserve">Annual coordination cost</t>
  </si>
  <si>
    <t xml:space="preserve">Software / client portal /yr</t>
  </si>
  <si>
    <t xml:space="preserve">Insurance + bond /yr</t>
  </si>
  <si>
    <t xml:space="preserve">Add-on cost (1 - margin)</t>
  </si>
  <si>
    <t xml:space="preserve">TOTAL HBC DIRECT COST</t>
  </si>
  <si>
    <t xml:space="preserve">CONTRIBUTION MARGIN (annual)</t>
  </si>
  <si>
    <t xml:space="preserve">Avg customer lifetime (yrs)</t>
  </si>
  <si>
    <t xml:space="preserve">Monthly contribution per customer</t>
  </si>
  <si>
    <t xml:space="preserve">Vendor Pass-Through Reference Catalog</t>
  </si>
  <si>
    <t xml:space="preserve">Vendor invoices the client pays through HBC. Pass-through is REVENUE-NEUTRAL on HBC P&amp;L (cost+0%). This sheet is reference only.</t>
  </si>
  <si>
    <t xml:space="preserve">Service</t>
  </si>
  <si>
    <t xml:space="preserve">Category</t>
  </si>
  <si>
    <t xml:space="preserve">Frequency</t>
  </si>
  <si>
    <t xml:space="preserve">Visits/yr</t>
  </si>
  <si>
    <t xml:space="preserve">Vendor cost / visit</t>
  </si>
  <si>
    <t xml:space="preserve">Annual vendor cost</t>
  </si>
  <si>
    <t xml:space="preserve">In Essentials?</t>
  </si>
  <si>
    <t xml:space="preserve">In Comfort?</t>
  </si>
  <si>
    <t xml:space="preserve">In Premier?</t>
  </si>
  <si>
    <t xml:space="preserve">Lawn mowing 1/4 acre</t>
  </si>
  <si>
    <t xml:space="preserve">Recurring</t>
  </si>
  <si>
    <t xml:space="preserve">Weekly Apr-Oct</t>
  </si>
  <si>
    <t xml:space="preserve">Y</t>
  </si>
  <si>
    <t xml:space="preserve">Standard residential mow</t>
  </si>
  <si>
    <t xml:space="preserve">Lawn fertilization treatment</t>
  </si>
  <si>
    <t xml:space="preserve">5x/yr</t>
  </si>
  <si>
    <t xml:space="preserve">N</t>
  </si>
  <si>
    <t xml:space="preserve">TruGreen-tier sub program</t>
  </si>
  <si>
    <t xml:space="preserve">Snow plowing per push</t>
  </si>
  <si>
    <t xml:space="preserve">20 events</t>
  </si>
  <si>
    <t xml:space="preserve">Drive only, residential push</t>
  </si>
  <si>
    <t xml:space="preserve">Snow walkways shovel</t>
  </si>
  <si>
    <t xml:space="preserve">Walks + steps add-on</t>
  </si>
  <si>
    <t xml:space="preserve">Gutter cleaning</t>
  </si>
  <si>
    <t xml:space="preserve">2x/yr</t>
  </si>
  <si>
    <t xml:space="preserve">Spring + fall</t>
  </si>
  <si>
    <t xml:space="preserve">Pest perimeter treatment</t>
  </si>
  <si>
    <t xml:space="preserve">Quarterly</t>
  </si>
  <si>
    <t xml:space="preserve">Orkin/Terminix-tier</t>
  </si>
  <si>
    <t xml:space="preserve">HVAC filter replacement</t>
  </si>
  <si>
    <t xml:space="preserve">4x/yr</t>
  </si>
  <si>
    <t xml:space="preserve">Filter cost only</t>
  </si>
  <si>
    <t xml:space="preserve">Leaf cleanup</t>
  </si>
  <si>
    <t xml:space="preserve">Seasonal</t>
  </si>
  <si>
    <t xml:space="preserve">1x fall</t>
  </si>
  <si>
    <t xml:space="preserve">Full bag and haul</t>
  </si>
  <si>
    <t xml:space="preserve">Mulching front beds</t>
  </si>
  <si>
    <t xml:space="preserve">1x spring</t>
  </si>
  <si>
    <t xml:space="preserve">8 cu yd hardwood</t>
  </si>
  <si>
    <t xml:space="preserve">Shrub trimming</t>
  </si>
  <si>
    <t xml:space="preserve">Foundation shrubs</t>
  </si>
  <si>
    <t xml:space="preserve">Sprinkler activation/blowout</t>
  </si>
  <si>
    <t xml:space="preserve">Sprinkler mid-season check</t>
  </si>
  <si>
    <t xml:space="preserve">1x</t>
  </si>
  <si>
    <t xml:space="preserve">Premier only</t>
  </si>
  <si>
    <t xml:space="preserve">Chimney sweep + inspection</t>
  </si>
  <si>
    <t xml:space="preserve">1x/yr</t>
  </si>
  <si>
    <t xml:space="preserve">Level 1 inspection</t>
  </si>
  <si>
    <t xml:space="preserve">Dryer vent cleaning</t>
  </si>
  <si>
    <t xml:space="preserve">Full vent path</t>
  </si>
  <si>
    <t xml:space="preserve">Window cleaning in/out</t>
  </si>
  <si>
    <t xml:space="preserve">25-window single-story</t>
  </si>
  <si>
    <t xml:space="preserve">Power wash (alternating)</t>
  </si>
  <si>
    <t xml:space="preserve">0.5/yr</t>
  </si>
  <si>
    <t xml:space="preserve">House + drive every other yr</t>
  </si>
  <si>
    <t xml:space="preserve">Monthly house cleaning</t>
  </si>
  <si>
    <t xml:space="preserve">Cleaning</t>
  </si>
  <si>
    <t xml:space="preserve">Monthly</t>
  </si>
  <si>
    <t xml:space="preserve">≤2,500 sqft</t>
  </si>
  <si>
    <t xml:space="preserve">HVAC tune-up</t>
  </si>
  <si>
    <t xml:space="preserve">Inspection</t>
  </si>
  <si>
    <t xml:space="preserve">Spring AC + fall furnace</t>
  </si>
  <si>
    <t xml:space="preserve">Roof + plumbing safety walk</t>
  </si>
  <si>
    <t xml:space="preserve">Visual inspection</t>
  </si>
  <si>
    <t xml:space="preserve">Annual home assessment</t>
  </si>
  <si>
    <t xml:space="preserve">Done by Adam, no vendor cost</t>
  </si>
  <si>
    <t xml:space="preserve">Total annual pass-through volume by tier</t>
  </si>
  <si>
    <t xml:space="preserve">NOTE: This pass-through volume is what the CLIENT pays vendors through HBC, at exact cost.</t>
  </si>
  <si>
    <t xml:space="preserve">It does NOT flow into HBC's revenue or cost. HBC earns the management fee + add-on margin only.</t>
  </si>
  <si>
    <t xml:space="preserve">Scenario Analysis (year 1)</t>
  </si>
  <si>
    <t xml:space="preserve">Conservative / Base / Stretch business outcomes by year-1 customer count and tier mix.</t>
  </si>
  <si>
    <t xml:space="preserve">CUSTOMERS (year 1 ending)</t>
  </si>
  <si>
    <t xml:space="preserve">Total customers (end of yr 1)</t>
  </si>
  <si>
    <t xml:space="preserve">Hudson + Bath + Montrose</t>
  </si>
  <si>
    <t xml:space="preserve">TIER MIX (% of customers)</t>
  </si>
  <si>
    <t xml:space="preserve">Essentials %</t>
  </si>
  <si>
    <t xml:space="preserve">Comfort %</t>
  </si>
  <si>
    <t xml:space="preserve">Premier %</t>
  </si>
  <si>
    <t xml:space="preserve">Snowbird %</t>
  </si>
  <si>
    <t xml:space="preserve">Mix total (must = 100%)</t>
  </si>
  <si>
    <t xml:space="preserve">CUSTOMERS PER TIER</t>
  </si>
  <si>
    <t xml:space="preserve">Essentials customers</t>
  </si>
  <si>
    <t xml:space="preserve">Comfort customers</t>
  </si>
  <si>
    <t xml:space="preserve">Premier customers</t>
  </si>
  <si>
    <t xml:space="preserve">Snowbird customers</t>
  </si>
  <si>
    <t xml:space="preserve">ANNUAL HBC REVENUE</t>
  </si>
  <si>
    <t xml:space="preserve">Essentials revenue</t>
  </si>
  <si>
    <t xml:space="preserve">Comfort revenue</t>
  </si>
  <si>
    <t xml:space="preserve">Premier revenue</t>
  </si>
  <si>
    <t xml:space="preserve">Snowbird revenue</t>
  </si>
  <si>
    <t xml:space="preserve">TOTAL ANNUAL REVENUE</t>
  </si>
  <si>
    <t xml:space="preserve">ANNUAL CONTRIBUTION (revenue minus direct cost)</t>
  </si>
  <si>
    <t xml:space="preserve">Essentials contribution</t>
  </si>
  <si>
    <t xml:space="preserve">Comfort contribution</t>
  </si>
  <si>
    <t xml:space="preserve">Premier contribution</t>
  </si>
  <si>
    <t xml:space="preserve">Snowbird contribution</t>
  </si>
  <si>
    <t xml:space="preserve">Subtotal: contribution</t>
  </si>
  <si>
    <t xml:space="preserve">FIXED BUSINESS COSTS (annual)</t>
  </si>
  <si>
    <t xml:space="preserve">Less: Adam admin/sales overhead</t>
  </si>
  <si>
    <t xml:space="preserve">Less: CSM (if customer count &gt;= trigger)</t>
  </si>
  <si>
    <t xml:space="preserve">Less: Marketing CAC (yr 1 cohort)</t>
  </si>
  <si>
    <t xml:space="preserve">NET CONTRIBUTION (yr 1)</t>
  </si>
  <si>
    <t xml:space="preserve">Net margin %</t>
  </si>
  <si>
    <t xml:space="preserve">Avg revenue/customer/yr</t>
  </si>
  <si>
    <t xml:space="preserve">Avg contribution/customer/yr</t>
  </si>
  <si>
    <t xml:space="preserve">Sensitivity Analysis</t>
  </si>
  <si>
    <t xml:space="preserve">How the Premier tier's annual contribution per customer responds to fee and Adam's hours.</t>
  </si>
  <si>
    <t xml:space="preserve">Premier annual contribution per customer at various fees / Adam coordination hours</t>
  </si>
  <si>
    <t xml:space="preserve">Adam hrs/yr \ Fee/mo</t>
  </si>
  <si>
    <t xml:space="preserve">Premier LTV : CAC at varying churn and CAC</t>
  </si>
  <si>
    <t xml:space="preserve">Churn % \ CAC</t>
  </si>
  <si>
    <t xml:space="preserve">GUIDE</t>
  </si>
  <si>
    <t xml:space="preserve">Healthy SaaS-like LTV:CAC = 3x or higher. Below 1x = unprofitable.</t>
  </si>
  <si>
    <t xml:space="preserve">Top table green = strong per-customer contribution; red = underwater on direct cost.</t>
  </si>
  <si>
    <t xml:space="preserve">36-Month Forecast (Base Scenario)</t>
  </si>
  <si>
    <t xml:space="preserve">Customer growth, revenue, and contribution. CSM auto-adds when customer count crosses trigger.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</si>
  <si>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</si>
  <si>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</si>
  <si>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</si>
  <si>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</si>
  <si>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</si>
  <si>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</si>
  <si>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</si>
  <si>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</si>
  <si>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</si>
  <si>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</si>
  <si>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</si>
  <si>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</si>
  <si>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</si>
  <si>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</si>
  <si>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</si>
  <si>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</si>
  <si>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</si>
  <si>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</si>
  <si>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</si>
  <si>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</si>
  <si>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</si>
  <si>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</si>
  <si>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</si>
  <si>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</si>
  <si>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</si>
  <si>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</si>
  <si>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</si>
  <si>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</si>
  <si>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</si>
  <si>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</si>
  <si>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</si>
  <si>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</si>
  <si>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</si>
  <si>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</si>
  <si>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</si>
  <si>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</si>
  <si>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</si>
  <si>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New customers added</t>
  </si>
  <si>
    <t xml:space="preserve">Churned customers (calc)</t>
  </si>
  <si>
    <t xml:space="preserve">Active customers (end of month)</t>
  </si>
  <si>
    <t xml:space="preserve">Blended monthly fee + add-ons /cust</t>
  </si>
  <si>
    <t xml:space="preserve">Monthly HBC revenue</t>
  </si>
  <si>
    <t xml:space="preserve">Avg coord hrs/cust/mo</t>
  </si>
  <si>
    <t xml:space="preserve">Direct cost / customer / mo</t>
  </si>
  <si>
    <t xml:space="preserve">Total monthly direct cost</t>
  </si>
  <si>
    <t xml:space="preserve">Adam admin + CSM (fixed monthly)</t>
  </si>
  <si>
    <t xml:space="preserve">Marketing spend (CAC * new)</t>
  </si>
  <si>
    <t xml:space="preserve">MONTHLY NET CONTRIBUTION</t>
  </si>
  <si>
    <t xml:space="preserve">Cumulative net contribution</t>
  </si>
  <si>
    <t xml:space="preserve">YEAR-END SUMMARY</t>
  </si>
  <si>
    <t xml:space="preserve">HBC Concierge — Assumptions</t>
  </si>
  <si>
    <t xml:space="preserve">Management-fee model. Vendor invoices pass through at cost (cost + 0%). Edit any blue cell.</t>
  </si>
  <si>
    <t xml:space="preserve">MANAGEMENT FEE PRICING (monthly, $)</t>
  </si>
  <si>
    <t xml:space="preserve">Essentials fee/mo</t>
  </si>
  <si>
    <t xml:space="preserve">Entry tier</t>
  </si>
  <si>
    <t xml:space="preserve">Comfort fee/mo</t>
  </si>
  <si>
    <t xml:space="preserve">Mid tier</t>
  </si>
  <si>
    <t xml:space="preserve">Premier fee/mo</t>
  </si>
  <si>
    <t xml:space="preserve">Top tier</t>
  </si>
  <si>
    <t xml:space="preserve">Snowbird fee/mo (6-mo Nov-Apr)</t>
  </si>
  <si>
    <t xml:space="preserve">Seasonal commit</t>
  </si>
  <si>
    <t xml:space="preserve">OPERATING COST INPUTS</t>
  </si>
  <si>
    <t xml:space="preserve">Adam time allocation $/mo (year 1)</t>
  </si>
  <si>
    <t xml:space="preserve">Lean launch: Adam handles all coordination</t>
  </si>
  <si>
    <t xml:space="preserve">CSM hired at customer count =</t>
  </si>
  <si>
    <t xml:space="preserve">Trigger to bring on first part-time CSM</t>
  </si>
  <si>
    <t xml:space="preserve">CSM annual loaded cost</t>
  </si>
  <si>
    <t xml:space="preserve">Part-time concierge mgr w/ benefits</t>
  </si>
  <si>
    <t xml:space="preserve">Customers per CSM (max)</t>
  </si>
  <si>
    <t xml:space="preserve">Manageable book of business per CSM</t>
  </si>
  <si>
    <t xml:space="preserve">Software/portal cost/customer/mo</t>
  </si>
  <si>
    <t xml:space="preserve">CRM, client portal, scheduling, payments</t>
  </si>
  <si>
    <t xml:space="preserve">Insurance + bond /customer/mo</t>
  </si>
  <si>
    <t xml:space="preserve">Liability allocation per active customer</t>
  </si>
  <si>
    <t xml:space="preserve">Vendor management fee on pass-through</t>
  </si>
  <si>
    <t xml:space="preserve">0% = pure pass-through (no vendor markup)</t>
  </si>
  <si>
    <t xml:space="preserve">Marketing CAC (target)</t>
  </si>
  <si>
    <t xml:space="preserve">Cost per acquired customer</t>
  </si>
  <si>
    <t xml:space="preserve">Annual customer churn rate</t>
  </si>
  <si>
    <t xml:space="preserve">Conservative year-1 estimate</t>
  </si>
  <si>
    <t xml:space="preserve">Avg add-on / referral rev /cust /mo</t>
  </si>
  <si>
    <t xml:space="preserve">Premium upsells, project management fees</t>
  </si>
  <si>
    <t xml:space="preserve">Add-on margin %</t>
  </si>
  <si>
    <t xml:space="preserve">Margin on add-ons / project mgmt fees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</si>
</sst>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"/>
    <numFmt numFmtId="167" formatCode="0.0%"/>
    <numFmt numFmtId="168" formatCode="0.0\x"/>
    <numFmt numFmtId="169" formatCode="0.0"/>
    <numFmt numFmtId="170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A1628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A1628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8"/>
      <color rgb="FF0A1628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11"/>
      <color rgb="FF555555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1"/>
      <color rgb="FF0A1628"/>
      <name val="Cambria"/>
      <family val="0"/>
      <charset val="1"/>
    </font>
    <font>
      <b val="true"/>
      <i val="true"/>
      <sz val="11"/>
      <color rgb="FF555555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7333"/>
        <bgColor rgb="FF888888"/>
      </patternFill>
    </fill>
    <fill>
      <patternFill patternType="solid">
        <fgColor rgb="FF0A1628"/>
        <bgColor rgb="FF000000"/>
      </patternFill>
    </fill>
    <fill>
      <patternFill patternType="solid">
        <fgColor rgb="FFF5F0E1"/>
        <bgColor rgb="FFFFF8DC"/>
      </patternFill>
    </fill>
    <fill>
      <patternFill patternType="solid">
        <fgColor rgb="FFFFF8DC"/>
        <bgColor rgb="FFF5F0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medium">
        <color rgb="FF0A1628"/>
      </top>
      <bottom style="medium">
        <color rgb="FF0A16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D4D1CA"/>
      <rgbColor rgb="FF888888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F0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1628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8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</row>
    <row r="6" customFormat="false" ht="25.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B7" s="5" t="s">
        <v>8</v>
      </c>
      <c r="C7" s="6" t="n">
        <f aca="false">'6. Assumptions'!$C$6</f>
        <v>199</v>
      </c>
      <c r="D7" s="6" t="n">
        <f aca="false">'6. Assumptions'!$C$7</f>
        <v>350</v>
      </c>
      <c r="E7" s="6" t="n">
        <f aca="false">'6. Assumptions'!$C$8</f>
        <v>550</v>
      </c>
      <c r="F7" s="6" t="n">
        <f aca="false">'6. Assumptions'!$C$9</f>
        <v>399</v>
      </c>
    </row>
    <row r="8" customFormat="false" ht="15" hidden="false" customHeight="false" outlineLevel="0" collapsed="false">
      <c r="B8" s="5" t="s">
        <v>9</v>
      </c>
      <c r="C8" s="7" t="n">
        <f aca="false">'1. Tier Economics'!C8</f>
        <v>12</v>
      </c>
      <c r="D8" s="7" t="n">
        <f aca="false">'1. Tier Economics'!D8</f>
        <v>12</v>
      </c>
      <c r="E8" s="7" t="n">
        <f aca="false">'1. Tier Economics'!E8</f>
        <v>12</v>
      </c>
      <c r="F8" s="7" t="n">
        <f aca="false">'1. Tier Economics'!F8</f>
        <v>6</v>
      </c>
    </row>
    <row r="9" customFormat="false" ht="15" hidden="false" customHeight="false" outlineLevel="0" collapsed="false">
      <c r="B9" s="5" t="s">
        <v>10</v>
      </c>
      <c r="C9" s="6" t="n">
        <f aca="false">'1. Tier Economics'!C9</f>
        <v>2388</v>
      </c>
      <c r="D9" s="6" t="n">
        <f aca="false">'1. Tier Economics'!D9</f>
        <v>4200</v>
      </c>
      <c r="E9" s="6" t="n">
        <f aca="false">'1. Tier Economics'!E9</f>
        <v>6600</v>
      </c>
      <c r="F9" s="6" t="n">
        <f aca="false">'1. Tier Economics'!F9</f>
        <v>2394</v>
      </c>
    </row>
    <row r="10" customFormat="false" ht="15" hidden="false" customHeight="false" outlineLevel="0" collapsed="false">
      <c r="B10" s="5" t="s">
        <v>11</v>
      </c>
      <c r="C10" s="6" t="n">
        <f aca="false">'1. Tier Economics'!C10</f>
        <v>180</v>
      </c>
      <c r="D10" s="6" t="n">
        <f aca="false">'1. Tier Economics'!D10</f>
        <v>360</v>
      </c>
      <c r="E10" s="6" t="n">
        <f aca="false">'1. Tier Economics'!E10</f>
        <v>600</v>
      </c>
      <c r="F10" s="6" t="n">
        <f aca="false">'1. Tier Economics'!F10</f>
        <v>120</v>
      </c>
    </row>
    <row r="11" customFormat="false" ht="15" hidden="false" customHeight="false" outlineLevel="0" collapsed="false">
      <c r="B11" s="8" t="s">
        <v>12</v>
      </c>
      <c r="C11" s="9" t="n">
        <f aca="false">'1. Tier Economics'!C13</f>
        <v>2568</v>
      </c>
      <c r="D11" s="9" t="n">
        <f aca="false">'1. Tier Economics'!D13</f>
        <v>4560</v>
      </c>
      <c r="E11" s="9" t="n">
        <f aca="false">'1. Tier Economics'!E13</f>
        <v>7200</v>
      </c>
      <c r="F11" s="9" t="n">
        <f aca="false">'1. Tier Economics'!F13</f>
        <v>2514</v>
      </c>
    </row>
    <row r="12" customFormat="false" ht="15" hidden="false" customHeight="false" outlineLevel="0" collapsed="false">
      <c r="B12" s="5" t="s">
        <v>13</v>
      </c>
      <c r="C12" s="6" t="n">
        <f aca="false">'1. Tier Economics'!C22</f>
        <v>696</v>
      </c>
      <c r="D12" s="6" t="n">
        <f aca="false">'1. Tier Economics'!D22</f>
        <v>1236</v>
      </c>
      <c r="E12" s="6" t="n">
        <f aca="false">'1. Tier Economics'!E22</f>
        <v>1956</v>
      </c>
      <c r="F12" s="6" t="n">
        <f aca="false">'1. Tier Economics'!F22</f>
        <v>888</v>
      </c>
    </row>
    <row r="13" customFormat="false" ht="15" hidden="false" customHeight="false" outlineLevel="0" collapsed="false">
      <c r="B13" s="8" t="s">
        <v>14</v>
      </c>
      <c r="C13" s="9" t="n">
        <f aca="false">'1. Tier Economics'!C24</f>
        <v>1872</v>
      </c>
      <c r="D13" s="9" t="n">
        <f aca="false">'1. Tier Economics'!D24</f>
        <v>3324</v>
      </c>
      <c r="E13" s="9" t="n">
        <f aca="false">'1. Tier Economics'!E24</f>
        <v>5244</v>
      </c>
      <c r="F13" s="9" t="n">
        <f aca="false">'1. Tier Economics'!F24</f>
        <v>1626</v>
      </c>
    </row>
    <row r="14" customFormat="false" ht="15" hidden="false" customHeight="false" outlineLevel="0" collapsed="false">
      <c r="B14" s="5" t="s">
        <v>15</v>
      </c>
      <c r="C14" s="10" t="n">
        <f aca="false">'1. Tier Economics'!C25</f>
        <v>0.728971962616822</v>
      </c>
      <c r="D14" s="10" t="n">
        <f aca="false">'1. Tier Economics'!D25</f>
        <v>0.728947368421053</v>
      </c>
      <c r="E14" s="10" t="n">
        <f aca="false">'1. Tier Economics'!E25</f>
        <v>0.728333333333333</v>
      </c>
      <c r="F14" s="10" t="n">
        <f aca="false">'1. Tier Economics'!F25</f>
        <v>0.646778042959427</v>
      </c>
    </row>
    <row r="15" customFormat="false" ht="15" hidden="false" customHeight="false" outlineLevel="0" collapsed="false">
      <c r="B15" s="5" t="s">
        <v>16</v>
      </c>
      <c r="C15" s="6" t="n">
        <f aca="false">'1. Tier Economics'!C28</f>
        <v>10050</v>
      </c>
      <c r="D15" s="6" t="n">
        <f aca="false">'1. Tier Economics'!D28</f>
        <v>18116.6666666667</v>
      </c>
      <c r="E15" s="6" t="n">
        <f aca="false">'1. Tier Economics'!E28</f>
        <v>28783.3333333333</v>
      </c>
      <c r="F15" s="6" t="n">
        <f aca="false">'1. Tier Economics'!F28</f>
        <v>8683.33333333333</v>
      </c>
    </row>
    <row r="16" customFormat="false" ht="15" hidden="false" customHeight="false" outlineLevel="0" collapsed="false">
      <c r="B16" s="5" t="s">
        <v>17</v>
      </c>
      <c r="C16" s="11" t="n">
        <f aca="false">'1. Tier Economics'!C29</f>
        <v>29.7142857142857</v>
      </c>
      <c r="D16" s="11" t="n">
        <f aca="false">'1. Tier Economics'!D29</f>
        <v>52.7619047619048</v>
      </c>
      <c r="E16" s="11" t="n">
        <f aca="false">'1. Tier Economics'!E29</f>
        <v>83.2380952380952</v>
      </c>
      <c r="F16" s="11" t="n">
        <f aca="false">'1. Tier Economics'!F29</f>
        <v>25.8095238095238</v>
      </c>
    </row>
    <row r="19" customFormat="false" ht="15" hidden="false" customHeight="false" outlineLevel="0" collapsed="false">
      <c r="B19" s="3" t="s">
        <v>18</v>
      </c>
      <c r="C19" s="3"/>
      <c r="D19" s="3"/>
      <c r="E19" s="3"/>
      <c r="F19" s="3"/>
    </row>
    <row r="20" customFormat="false" ht="24" hidden="false" customHeight="true" outlineLevel="0" collapsed="false">
      <c r="B20" s="4" t="s">
        <v>3</v>
      </c>
      <c r="C20" s="4" t="s">
        <v>19</v>
      </c>
      <c r="D20" s="4" t="s">
        <v>20</v>
      </c>
      <c r="E20" s="4" t="s">
        <v>21</v>
      </c>
    </row>
    <row r="21" customFormat="false" ht="15" hidden="false" customHeight="false" outlineLevel="0" collapsed="false">
      <c r="B21" s="5" t="s">
        <v>22</v>
      </c>
      <c r="C21" s="12" t="n">
        <f aca="false">'3. Scenario Analysis'!C7</f>
        <v>30</v>
      </c>
      <c r="D21" s="12" t="n">
        <f aca="false">'3. Scenario Analysis'!D7</f>
        <v>60</v>
      </c>
      <c r="E21" s="12" t="n">
        <f aca="false">'3. Scenario Analysis'!E7</f>
        <v>100</v>
      </c>
    </row>
    <row r="22" customFormat="false" ht="15" hidden="false" customHeight="false" outlineLevel="0" collapsed="false">
      <c r="B22" s="5" t="s">
        <v>23</v>
      </c>
      <c r="C22" s="13" t="n">
        <f aca="false">'3. Scenario Analysis'!C27</f>
        <v>115731</v>
      </c>
      <c r="D22" s="13" t="n">
        <f aca="false">'3. Scenario Analysis'!D27</f>
        <v>251334</v>
      </c>
      <c r="E22" s="13" t="n">
        <f aca="false">'3. Scenario Analysis'!E27</f>
        <v>441780</v>
      </c>
    </row>
    <row r="23" customFormat="false" ht="15" hidden="false" customHeight="false" outlineLevel="0" collapsed="false">
      <c r="B23" s="5" t="s">
        <v>24</v>
      </c>
      <c r="C23" s="9" t="n">
        <f aca="false">'3. Scenario Analysis'!C34</f>
        <v>84033</v>
      </c>
      <c r="D23" s="9" t="n">
        <f aca="false">'3. Scenario Analysis'!D34</f>
        <v>182538</v>
      </c>
      <c r="E23" s="9" t="n">
        <f aca="false">'3. Scenario Analysis'!E34</f>
        <v>319860</v>
      </c>
    </row>
    <row r="24" customFormat="false" ht="15" hidden="false" customHeight="false" outlineLevel="0" collapsed="false">
      <c r="B24" s="5" t="s">
        <v>25</v>
      </c>
      <c r="C24" s="9" t="n">
        <f aca="false">'3. Scenario Analysis'!C41</f>
        <v>25533</v>
      </c>
      <c r="D24" s="9" t="n">
        <f aca="false">'3. Scenario Analysis'!D41</f>
        <v>68538</v>
      </c>
      <c r="E24" s="9" t="n">
        <f aca="false">'3. Scenario Analysis'!E41</f>
        <v>191860</v>
      </c>
    </row>
    <row r="27" customFormat="false" ht="15" hidden="false" customHeight="false" outlineLevel="0" collapsed="false">
      <c r="B27" s="3" t="s">
        <v>26</v>
      </c>
      <c r="C27" s="3"/>
      <c r="D27" s="3"/>
      <c r="E27" s="3"/>
      <c r="F27" s="3"/>
    </row>
    <row r="28" customFormat="false" ht="15" hidden="false" customHeight="false" outlineLevel="0" collapsed="false">
      <c r="B28" s="5" t="s">
        <v>27</v>
      </c>
      <c r="C28" s="12" t="n">
        <f aca="false">'5. 36-Month Forecast'!C25</f>
        <v>51.5</v>
      </c>
    </row>
    <row r="29" customFormat="false" ht="15" hidden="false" customHeight="false" outlineLevel="0" collapsed="false">
      <c r="B29" s="5" t="s">
        <v>28</v>
      </c>
      <c r="C29" s="12" t="n">
        <f aca="false">'5. 36-Month Forecast'!C26</f>
        <v>124.3</v>
      </c>
    </row>
    <row r="30" customFormat="false" ht="15" hidden="false" customHeight="false" outlineLevel="0" collapsed="false">
      <c r="B30" s="5" t="s">
        <v>29</v>
      </c>
      <c r="C30" s="12" t="n">
        <f aca="false">'5. 36-Month Forecast'!C27</f>
        <v>203.8</v>
      </c>
    </row>
    <row r="31" customFormat="false" ht="15" hidden="false" customHeight="false" outlineLevel="0" collapsed="false">
      <c r="B31" s="5" t="s">
        <v>30</v>
      </c>
      <c r="C31" s="13" t="n">
        <f aca="false">'5. 36-Month Forecast'!C29</f>
        <v>8816.20000000001</v>
      </c>
    </row>
    <row r="32" customFormat="false" ht="15" hidden="false" customHeight="false" outlineLevel="0" collapsed="false">
      <c r="B32" s="5" t="s">
        <v>31</v>
      </c>
      <c r="C32" s="13" t="n">
        <f aca="false">'5. 36-Month Forecast'!C30</f>
        <v>171161</v>
      </c>
    </row>
    <row r="33" customFormat="false" ht="15" hidden="false" customHeight="false" outlineLevel="0" collapsed="false">
      <c r="B33" s="5" t="s">
        <v>32</v>
      </c>
      <c r="C33" s="13" t="n">
        <f aca="false">'5. 36-Month Forecast'!C31</f>
        <v>415884.8</v>
      </c>
    </row>
    <row r="34" customFormat="false" ht="15" hidden="false" customHeight="false" outlineLevel="0" collapsed="false">
      <c r="B34" s="14" t="s">
        <v>33</v>
      </c>
      <c r="C34" s="15" t="n">
        <f aca="false">'5. 36-Month Forecast'!C33</f>
        <v>595862</v>
      </c>
    </row>
    <row r="37" customFormat="false" ht="15" hidden="false" customHeight="false" outlineLevel="0" collapsed="false">
      <c r="B37" s="16" t="s">
        <v>34</v>
      </c>
      <c r="C37" s="16"/>
      <c r="D37" s="16"/>
      <c r="E37" s="16"/>
      <c r="F37" s="16"/>
    </row>
  </sheetData>
  <mergeCells count="4">
    <mergeCell ref="B5:F5"/>
    <mergeCell ref="B19:F19"/>
    <mergeCell ref="B27:F27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6"/>
    <col collapsed="false" customWidth="true" hidden="false" outlineLevel="0" max="7" min="7" style="0" width="40"/>
  </cols>
  <sheetData>
    <row r="2" customFormat="false" ht="22.05" hidden="false" customHeight="false" outlineLevel="0" collapsed="false">
      <c r="B2" s="17" t="s">
        <v>35</v>
      </c>
    </row>
    <row r="3" customFormat="false" ht="15" hidden="false" customHeight="false" outlineLevel="0" collapsed="false">
      <c r="B3" s="2" t="s">
        <v>36</v>
      </c>
    </row>
    <row r="5" customFormat="false" ht="30" hidden="false" customHeight="true" outlineLevel="0" collapsed="false">
      <c r="B5" s="4" t="s">
        <v>37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38</v>
      </c>
    </row>
    <row r="6" customFormat="false" ht="15" hidden="false" customHeight="false" outlineLevel="0" collapsed="false">
      <c r="B6" s="3" t="s">
        <v>39</v>
      </c>
      <c r="C6" s="3"/>
      <c r="D6" s="3"/>
      <c r="E6" s="3"/>
      <c r="F6" s="3"/>
      <c r="G6" s="3"/>
    </row>
    <row r="7" customFormat="false" ht="15" hidden="false" customHeight="false" outlineLevel="0" collapsed="false">
      <c r="B7" s="0" t="s">
        <v>40</v>
      </c>
      <c r="C7" s="13" t="n">
        <f aca="false">'6. Assumptions'!$C$6</f>
        <v>199</v>
      </c>
      <c r="D7" s="13" t="n">
        <f aca="false">'6. Assumptions'!$C$7</f>
        <v>350</v>
      </c>
      <c r="E7" s="13" t="n">
        <f aca="false">'6. Assumptions'!$C$8</f>
        <v>550</v>
      </c>
      <c r="F7" s="13" t="n">
        <f aca="false">'6. Assumptions'!$C$9</f>
        <v>399</v>
      </c>
      <c r="G7" s="0" t="s">
        <v>41</v>
      </c>
    </row>
    <row r="8" customFormat="false" ht="15" hidden="false" customHeight="false" outlineLevel="0" collapsed="false">
      <c r="B8" s="0" t="s">
        <v>42</v>
      </c>
      <c r="C8" s="18" t="n">
        <v>12</v>
      </c>
      <c r="D8" s="18" t="n">
        <v>12</v>
      </c>
      <c r="E8" s="18" t="n">
        <v>12</v>
      </c>
      <c r="F8" s="18" t="n">
        <v>6</v>
      </c>
      <c r="G8" s="0" t="s">
        <v>43</v>
      </c>
    </row>
    <row r="9" customFormat="false" ht="15" hidden="false" customHeight="false" outlineLevel="0" collapsed="false">
      <c r="B9" s="19" t="s">
        <v>44</v>
      </c>
      <c r="C9" s="20" t="n">
        <f aca="false">C7*C8</f>
        <v>2388</v>
      </c>
      <c r="D9" s="20" t="n">
        <f aca="false">D7*D8</f>
        <v>4200</v>
      </c>
      <c r="E9" s="20" t="n">
        <f aca="false">E7*E8</f>
        <v>6600</v>
      </c>
      <c r="F9" s="20" t="n">
        <f aca="false">F7*F8</f>
        <v>2394</v>
      </c>
    </row>
    <row r="10" customFormat="false" ht="15" hidden="false" customHeight="false" outlineLevel="0" collapsed="false">
      <c r="B10" s="0" t="s">
        <v>45</v>
      </c>
      <c r="C10" s="13" t="n">
        <f aca="false">'6. Assumptions'!$C$21*12*0.3</f>
        <v>180</v>
      </c>
      <c r="D10" s="13" t="n">
        <f aca="false">'6. Assumptions'!$C$21*12*0.6</f>
        <v>360</v>
      </c>
      <c r="E10" s="13" t="n">
        <f aca="false">'6. Assumptions'!$C$21*12*1</f>
        <v>600</v>
      </c>
      <c r="F10" s="13" t="n">
        <f aca="false">'6. Assumptions'!$C$21*6*0.4</f>
        <v>120</v>
      </c>
      <c r="G10" s="0" t="s">
        <v>46</v>
      </c>
    </row>
    <row r="11" customFormat="false" ht="15" hidden="false" customHeight="false" outlineLevel="0" collapsed="false">
      <c r="B11" s="0" t="s">
        <v>47</v>
      </c>
      <c r="C11" s="21" t="n">
        <v>2400</v>
      </c>
      <c r="D11" s="21" t="n">
        <v>4800</v>
      </c>
      <c r="E11" s="21" t="n">
        <v>8500</v>
      </c>
      <c r="F11" s="21" t="n">
        <v>1800</v>
      </c>
      <c r="G11" s="22" t="s">
        <v>48</v>
      </c>
    </row>
    <row r="12" customFormat="false" ht="15" hidden="false" customHeight="false" outlineLevel="0" collapsed="false">
      <c r="B12" s="0" t="s">
        <v>49</v>
      </c>
      <c r="C12" s="13" t="n">
        <f aca="false">C11*'6. Assumptions'!$C$18</f>
        <v>0</v>
      </c>
      <c r="D12" s="13" t="n">
        <f aca="false">D11*'6. Assumptions'!$C$18</f>
        <v>0</v>
      </c>
      <c r="E12" s="13" t="n">
        <f aca="false">E11*'6. Assumptions'!$C$18</f>
        <v>0</v>
      </c>
      <c r="F12" s="13" t="n">
        <f aca="false">F11*'6. Assumptions'!$C$18</f>
        <v>0</v>
      </c>
    </row>
    <row r="13" customFormat="false" ht="15" hidden="false" customHeight="false" outlineLevel="0" collapsed="false">
      <c r="B13" s="19" t="s">
        <v>50</v>
      </c>
      <c r="C13" s="9" t="n">
        <f aca="false">C9+C10+C12</f>
        <v>2568</v>
      </c>
      <c r="D13" s="9" t="n">
        <f aca="false">D9+D10+D12</f>
        <v>4560</v>
      </c>
      <c r="E13" s="9" t="n">
        <f aca="false">E9+E10+E12</f>
        <v>7200</v>
      </c>
      <c r="F13" s="9" t="n">
        <f aca="false">F9+F10+F12</f>
        <v>2514</v>
      </c>
    </row>
    <row r="15" customFormat="false" ht="15" hidden="false" customHeight="false" outlineLevel="0" collapsed="false">
      <c r="B15" s="3" t="s">
        <v>51</v>
      </c>
      <c r="C15" s="3"/>
      <c r="D15" s="3"/>
      <c r="E15" s="3"/>
      <c r="F15" s="3"/>
      <c r="G15" s="3"/>
    </row>
    <row r="16" customFormat="false" ht="15" hidden="false" customHeight="false" outlineLevel="0" collapsed="false">
      <c r="B16" s="0" t="s">
        <v>52</v>
      </c>
      <c r="C16" s="23" t="n">
        <v>6</v>
      </c>
      <c r="D16" s="23" t="n">
        <v>12</v>
      </c>
      <c r="E16" s="23" t="n">
        <v>20</v>
      </c>
      <c r="F16" s="23" t="n">
        <v>10</v>
      </c>
      <c r="G16" s="0" t="s">
        <v>53</v>
      </c>
    </row>
    <row r="17" customFormat="false" ht="15" hidden="false" customHeight="false" outlineLevel="0" collapsed="false">
      <c r="B17" s="0" t="s">
        <v>54</v>
      </c>
      <c r="C17" s="21" t="n">
        <v>75</v>
      </c>
      <c r="D17" s="24" t="n">
        <f aca="false">$C$17</f>
        <v>75</v>
      </c>
      <c r="E17" s="24" t="n">
        <f aca="false">$C$17</f>
        <v>75</v>
      </c>
      <c r="F17" s="24" t="n">
        <f aca="false">$C$17</f>
        <v>75</v>
      </c>
      <c r="G17" s="0" t="s">
        <v>55</v>
      </c>
    </row>
    <row r="18" customFormat="false" ht="15" hidden="false" customHeight="false" outlineLevel="0" collapsed="false">
      <c r="B18" s="0" t="s">
        <v>56</v>
      </c>
      <c r="C18" s="13" t="n">
        <f aca="false">C16*C17</f>
        <v>450</v>
      </c>
      <c r="D18" s="13" t="n">
        <f aca="false">D16*D17</f>
        <v>900</v>
      </c>
      <c r="E18" s="13" t="n">
        <f aca="false">E16*E17</f>
        <v>1500</v>
      </c>
      <c r="F18" s="13" t="n">
        <f aca="false">F16*F17</f>
        <v>750</v>
      </c>
    </row>
    <row r="19" customFormat="false" ht="15" hidden="false" customHeight="false" outlineLevel="0" collapsed="false">
      <c r="B19" s="0" t="s">
        <v>57</v>
      </c>
      <c r="C19" s="13" t="n">
        <f aca="false">'6. Assumptions'!$C$16*C8</f>
        <v>96</v>
      </c>
      <c r="D19" s="13" t="n">
        <f aca="false">'6. Assumptions'!$C$16*D8</f>
        <v>96</v>
      </c>
      <c r="E19" s="13" t="n">
        <f aca="false">'6. Assumptions'!$C$16*E8</f>
        <v>96</v>
      </c>
      <c r="F19" s="13" t="n">
        <f aca="false">'6. Assumptions'!$C$16*F8</f>
        <v>48</v>
      </c>
    </row>
    <row r="20" customFormat="false" ht="15" hidden="false" customHeight="false" outlineLevel="0" collapsed="false">
      <c r="B20" s="0" t="s">
        <v>58</v>
      </c>
      <c r="C20" s="13" t="n">
        <f aca="false">'6. Assumptions'!$C$17*C8</f>
        <v>60</v>
      </c>
      <c r="D20" s="13" t="n">
        <f aca="false">'6. Assumptions'!$C$17*D8</f>
        <v>60</v>
      </c>
      <c r="E20" s="13" t="n">
        <f aca="false">'6. Assumptions'!$C$17*E8</f>
        <v>60</v>
      </c>
      <c r="F20" s="13" t="n">
        <f aca="false">'6. Assumptions'!$C$17*F8</f>
        <v>30</v>
      </c>
    </row>
    <row r="21" customFormat="false" ht="15" hidden="false" customHeight="false" outlineLevel="0" collapsed="false">
      <c r="B21" s="0" t="s">
        <v>59</v>
      </c>
      <c r="C21" s="13" t="n">
        <f aca="false">C10*(1-'6. Assumptions'!$C$22)</f>
        <v>90</v>
      </c>
      <c r="D21" s="13" t="n">
        <f aca="false">D10*(1-'6. Assumptions'!$C$22)</f>
        <v>180</v>
      </c>
      <c r="E21" s="13" t="n">
        <f aca="false">E10*(1-'6. Assumptions'!$C$22)</f>
        <v>300</v>
      </c>
      <c r="F21" s="13" t="n">
        <f aca="false">F10*(1-'6. Assumptions'!$C$22)</f>
        <v>60</v>
      </c>
    </row>
    <row r="22" customFormat="false" ht="15" hidden="false" customHeight="false" outlineLevel="0" collapsed="false">
      <c r="B22" s="19" t="s">
        <v>60</v>
      </c>
      <c r="C22" s="9" t="n">
        <f aca="false">SUM(C18:C21)</f>
        <v>696</v>
      </c>
      <c r="D22" s="9" t="n">
        <f aca="false">SUM(D18:D21)</f>
        <v>1236</v>
      </c>
      <c r="E22" s="9" t="n">
        <f aca="false">SUM(E18:E21)</f>
        <v>1956</v>
      </c>
      <c r="F22" s="9" t="n">
        <f aca="false">SUM(F18:F21)</f>
        <v>888</v>
      </c>
    </row>
    <row r="24" customFormat="false" ht="15" hidden="false" customHeight="false" outlineLevel="0" collapsed="false">
      <c r="B24" s="25" t="s">
        <v>61</v>
      </c>
      <c r="C24" s="26" t="n">
        <f aca="false">C13-C22</f>
        <v>1872</v>
      </c>
      <c r="D24" s="26" t="n">
        <f aca="false">D13-D22</f>
        <v>3324</v>
      </c>
      <c r="E24" s="26" t="n">
        <f aca="false">E13-E22</f>
        <v>5244</v>
      </c>
      <c r="F24" s="26" t="n">
        <f aca="false">F13-F22</f>
        <v>1626</v>
      </c>
    </row>
    <row r="25" customFormat="false" ht="15" hidden="false" customHeight="false" outlineLevel="0" collapsed="false">
      <c r="B25" s="0" t="s">
        <v>15</v>
      </c>
      <c r="C25" s="27" t="n">
        <f aca="false">IFERROR(C24/C13,0)</f>
        <v>0.728971962616822</v>
      </c>
      <c r="D25" s="27" t="n">
        <f aca="false">IFERROR(D24/D13,0)</f>
        <v>0.728947368421053</v>
      </c>
      <c r="E25" s="27" t="n">
        <f aca="false">IFERROR(E24/E13,0)</f>
        <v>0.728333333333333</v>
      </c>
      <c r="F25" s="27" t="n">
        <f aca="false">IFERROR(F24/F13,0)</f>
        <v>0.646778042959427</v>
      </c>
    </row>
    <row r="27" customFormat="false" ht="15" hidden="false" customHeight="false" outlineLevel="0" collapsed="false">
      <c r="B27" s="0" t="s">
        <v>62</v>
      </c>
      <c r="C27" s="12" t="n">
        <f aca="false">1/'6. Assumptions'!$C$20</f>
        <v>5.55555555555556</v>
      </c>
      <c r="D27" s="12" t="n">
        <f aca="false">1/'6. Assumptions'!$C$20</f>
        <v>5.55555555555556</v>
      </c>
      <c r="E27" s="12" t="n">
        <f aca="false">1/'6. Assumptions'!$C$20</f>
        <v>5.55555555555556</v>
      </c>
      <c r="F27" s="12" t="n">
        <f aca="false">1/'6. Assumptions'!$C$20</f>
        <v>5.55555555555556</v>
      </c>
    </row>
    <row r="28" customFormat="false" ht="15" hidden="false" customHeight="false" outlineLevel="0" collapsed="false">
      <c r="B28" s="19" t="s">
        <v>16</v>
      </c>
      <c r="C28" s="9" t="n">
        <f aca="false">C24*C27-'6. Assumptions'!$C$19</f>
        <v>10050</v>
      </c>
      <c r="D28" s="9" t="n">
        <f aca="false">D24*D27-'6. Assumptions'!$C$19</f>
        <v>18116.6666666667</v>
      </c>
      <c r="E28" s="9" t="n">
        <f aca="false">E24*E27-'6. Assumptions'!$C$19</f>
        <v>28783.3333333333</v>
      </c>
      <c r="F28" s="9" t="n">
        <f aca="false">F24*F27-'6. Assumptions'!$C$19</f>
        <v>8683.33333333333</v>
      </c>
    </row>
    <row r="29" customFormat="false" ht="15" hidden="false" customHeight="false" outlineLevel="0" collapsed="false">
      <c r="B29" s="0" t="s">
        <v>17</v>
      </c>
      <c r="C29" s="28" t="n">
        <f aca="false">IFERROR((C24*C27)/'6. Assumptions'!$C$19,0)</f>
        <v>29.7142857142857</v>
      </c>
      <c r="D29" s="28" t="n">
        <f aca="false">IFERROR((D24*D27)/'6. Assumptions'!$C$19,0)</f>
        <v>52.7619047619048</v>
      </c>
      <c r="E29" s="28" t="n">
        <f aca="false">IFERROR((E24*E27)/'6. Assumptions'!$C$19,0)</f>
        <v>83.2380952380952</v>
      </c>
      <c r="F29" s="28" t="n">
        <f aca="false">IFERROR((F24*F27)/'6. Assumptions'!$C$19,0)</f>
        <v>25.8095238095238</v>
      </c>
    </row>
    <row r="31" customFormat="false" ht="15" hidden="false" customHeight="false" outlineLevel="0" collapsed="false">
      <c r="B31" s="0" t="s">
        <v>63</v>
      </c>
      <c r="C31" s="13" t="n">
        <f aca="false">C24/C8</f>
        <v>156</v>
      </c>
      <c r="D31" s="13" t="n">
        <f aca="false">D24/D8</f>
        <v>277</v>
      </c>
      <c r="E31" s="13" t="n">
        <f aca="false">E24/E8</f>
        <v>437</v>
      </c>
      <c r="F31" s="13" t="n">
        <f aca="false">F24/F8</f>
        <v>271</v>
      </c>
    </row>
  </sheetData>
  <mergeCells count="2">
    <mergeCell ref="B6:G6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36"/>
  </cols>
  <sheetData>
    <row r="2" customFormat="false" ht="22.05" hidden="false" customHeight="false" outlineLevel="0" collapsed="false">
      <c r="B2" s="17" t="s">
        <v>64</v>
      </c>
    </row>
    <row r="3" customFormat="false" ht="15" hidden="false" customHeight="false" outlineLevel="0" collapsed="false">
      <c r="B3" s="2" t="s">
        <v>65</v>
      </c>
    </row>
    <row r="5" customFormat="false" ht="31.5" hidden="false" customHeight="true" outlineLevel="0" collapsed="false"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74</v>
      </c>
      <c r="K5" s="4" t="s">
        <v>38</v>
      </c>
    </row>
    <row r="6" customFormat="false" ht="15" hidden="false" customHeight="false" outlineLevel="0" collapsed="false">
      <c r="B6" s="5" t="s">
        <v>75</v>
      </c>
      <c r="C6" s="29" t="s">
        <v>76</v>
      </c>
      <c r="D6" s="29" t="s">
        <v>77</v>
      </c>
      <c r="E6" s="23" t="n">
        <v>26</v>
      </c>
      <c r="F6" s="21" t="n">
        <v>45</v>
      </c>
      <c r="G6" s="13" t="n">
        <f aca="false">E6*F6</f>
        <v>1170</v>
      </c>
      <c r="H6" s="29" t="s">
        <v>78</v>
      </c>
      <c r="I6" s="29" t="s">
        <v>78</v>
      </c>
      <c r="J6" s="29" t="s">
        <v>78</v>
      </c>
      <c r="K6" s="30" t="s">
        <v>79</v>
      </c>
    </row>
    <row r="7" customFormat="false" ht="15" hidden="false" customHeight="false" outlineLevel="0" collapsed="false">
      <c r="B7" s="5" t="s">
        <v>80</v>
      </c>
      <c r="C7" s="29" t="s">
        <v>76</v>
      </c>
      <c r="D7" s="29" t="s">
        <v>81</v>
      </c>
      <c r="E7" s="23" t="n">
        <v>5</v>
      </c>
      <c r="F7" s="21" t="n">
        <v>65</v>
      </c>
      <c r="G7" s="13" t="n">
        <f aca="false">E7*F7</f>
        <v>325</v>
      </c>
      <c r="H7" s="29" t="s">
        <v>82</v>
      </c>
      <c r="I7" s="29" t="s">
        <v>78</v>
      </c>
      <c r="J7" s="29" t="s">
        <v>78</v>
      </c>
      <c r="K7" s="30" t="s">
        <v>83</v>
      </c>
    </row>
    <row r="8" customFormat="false" ht="15" hidden="false" customHeight="false" outlineLevel="0" collapsed="false">
      <c r="B8" s="5" t="s">
        <v>84</v>
      </c>
      <c r="C8" s="29" t="s">
        <v>76</v>
      </c>
      <c r="D8" s="29" t="s">
        <v>85</v>
      </c>
      <c r="E8" s="23" t="n">
        <v>20</v>
      </c>
      <c r="F8" s="21" t="n">
        <v>55</v>
      </c>
      <c r="G8" s="13" t="n">
        <f aca="false">E8*F8</f>
        <v>1100</v>
      </c>
      <c r="H8" s="29" t="s">
        <v>78</v>
      </c>
      <c r="I8" s="29" t="s">
        <v>78</v>
      </c>
      <c r="J8" s="29" t="s">
        <v>78</v>
      </c>
      <c r="K8" s="30" t="s">
        <v>86</v>
      </c>
    </row>
    <row r="9" customFormat="false" ht="15" hidden="false" customHeight="false" outlineLevel="0" collapsed="false">
      <c r="B9" s="5" t="s">
        <v>87</v>
      </c>
      <c r="C9" s="29" t="s">
        <v>76</v>
      </c>
      <c r="D9" s="29" t="s">
        <v>85</v>
      </c>
      <c r="E9" s="23" t="n">
        <v>20</v>
      </c>
      <c r="F9" s="21" t="n">
        <v>18</v>
      </c>
      <c r="G9" s="13" t="n">
        <f aca="false">E9*F9</f>
        <v>360</v>
      </c>
      <c r="H9" s="29" t="s">
        <v>82</v>
      </c>
      <c r="I9" s="29" t="s">
        <v>78</v>
      </c>
      <c r="J9" s="29" t="s">
        <v>78</v>
      </c>
      <c r="K9" s="30" t="s">
        <v>88</v>
      </c>
    </row>
    <row r="10" customFormat="false" ht="15" hidden="false" customHeight="false" outlineLevel="0" collapsed="false">
      <c r="B10" s="5" t="s">
        <v>89</v>
      </c>
      <c r="C10" s="29" t="s">
        <v>76</v>
      </c>
      <c r="D10" s="29" t="s">
        <v>90</v>
      </c>
      <c r="E10" s="23" t="n">
        <v>2</v>
      </c>
      <c r="F10" s="21" t="n">
        <v>175</v>
      </c>
      <c r="G10" s="13" t="n">
        <f aca="false">E10*F10</f>
        <v>350</v>
      </c>
      <c r="H10" s="29" t="s">
        <v>78</v>
      </c>
      <c r="I10" s="29" t="s">
        <v>78</v>
      </c>
      <c r="J10" s="29" t="s">
        <v>78</v>
      </c>
      <c r="K10" s="30" t="s">
        <v>91</v>
      </c>
    </row>
    <row r="11" customFormat="false" ht="15" hidden="false" customHeight="false" outlineLevel="0" collapsed="false">
      <c r="B11" s="5" t="s">
        <v>92</v>
      </c>
      <c r="C11" s="29" t="s">
        <v>76</v>
      </c>
      <c r="D11" s="29" t="s">
        <v>93</v>
      </c>
      <c r="E11" s="23" t="n">
        <v>4</v>
      </c>
      <c r="F11" s="21" t="n">
        <v>95</v>
      </c>
      <c r="G11" s="13" t="n">
        <f aca="false">E11*F11</f>
        <v>380</v>
      </c>
      <c r="H11" s="29" t="s">
        <v>78</v>
      </c>
      <c r="I11" s="29" t="s">
        <v>78</v>
      </c>
      <c r="J11" s="29" t="s">
        <v>78</v>
      </c>
      <c r="K11" s="30" t="s">
        <v>94</v>
      </c>
    </row>
    <row r="12" customFormat="false" ht="15" hidden="false" customHeight="false" outlineLevel="0" collapsed="false">
      <c r="B12" s="5" t="s">
        <v>95</v>
      </c>
      <c r="C12" s="29" t="s">
        <v>76</v>
      </c>
      <c r="D12" s="29" t="s">
        <v>96</v>
      </c>
      <c r="E12" s="23" t="n">
        <v>4</v>
      </c>
      <c r="F12" s="21" t="n">
        <v>12</v>
      </c>
      <c r="G12" s="13" t="n">
        <f aca="false">E12*F12</f>
        <v>48</v>
      </c>
      <c r="H12" s="29" t="s">
        <v>78</v>
      </c>
      <c r="I12" s="29" t="s">
        <v>78</v>
      </c>
      <c r="J12" s="29" t="s">
        <v>78</v>
      </c>
      <c r="K12" s="30" t="s">
        <v>97</v>
      </c>
    </row>
    <row r="13" customFormat="false" ht="15" hidden="false" customHeight="false" outlineLevel="0" collapsed="false">
      <c r="B13" s="5" t="s">
        <v>98</v>
      </c>
      <c r="C13" s="29" t="s">
        <v>99</v>
      </c>
      <c r="D13" s="29" t="s">
        <v>100</v>
      </c>
      <c r="E13" s="23" t="n">
        <v>1</v>
      </c>
      <c r="F13" s="21" t="n">
        <v>285</v>
      </c>
      <c r="G13" s="13" t="n">
        <f aca="false">E13*F13</f>
        <v>285</v>
      </c>
      <c r="H13" s="29" t="s">
        <v>82</v>
      </c>
      <c r="I13" s="29" t="s">
        <v>78</v>
      </c>
      <c r="J13" s="29" t="s">
        <v>78</v>
      </c>
      <c r="K13" s="30" t="s">
        <v>101</v>
      </c>
    </row>
    <row r="14" customFormat="false" ht="15" hidden="false" customHeight="false" outlineLevel="0" collapsed="false">
      <c r="B14" s="5" t="s">
        <v>102</v>
      </c>
      <c r="C14" s="29" t="s">
        <v>99</v>
      </c>
      <c r="D14" s="29" t="s">
        <v>103</v>
      </c>
      <c r="E14" s="23" t="n">
        <v>1</v>
      </c>
      <c r="F14" s="21" t="n">
        <v>425</v>
      </c>
      <c r="G14" s="13" t="n">
        <f aca="false">E14*F14</f>
        <v>425</v>
      </c>
      <c r="H14" s="29" t="s">
        <v>82</v>
      </c>
      <c r="I14" s="29" t="s">
        <v>82</v>
      </c>
      <c r="J14" s="29" t="s">
        <v>78</v>
      </c>
      <c r="K14" s="30" t="s">
        <v>104</v>
      </c>
    </row>
    <row r="15" customFormat="false" ht="15" hidden="false" customHeight="false" outlineLevel="0" collapsed="false">
      <c r="B15" s="5" t="s">
        <v>105</v>
      </c>
      <c r="C15" s="29" t="s">
        <v>99</v>
      </c>
      <c r="D15" s="29" t="s">
        <v>90</v>
      </c>
      <c r="E15" s="23" t="n">
        <v>2</v>
      </c>
      <c r="F15" s="21" t="n">
        <v>185</v>
      </c>
      <c r="G15" s="13" t="n">
        <f aca="false">E15*F15</f>
        <v>370</v>
      </c>
      <c r="H15" s="29" t="s">
        <v>82</v>
      </c>
      <c r="I15" s="29" t="s">
        <v>82</v>
      </c>
      <c r="J15" s="29" t="s">
        <v>78</v>
      </c>
      <c r="K15" s="30" t="s">
        <v>106</v>
      </c>
    </row>
    <row r="16" customFormat="false" ht="15" hidden="false" customHeight="false" outlineLevel="0" collapsed="false">
      <c r="B16" s="5" t="s">
        <v>107</v>
      </c>
      <c r="C16" s="29" t="s">
        <v>99</v>
      </c>
      <c r="D16" s="29" t="s">
        <v>90</v>
      </c>
      <c r="E16" s="23" t="n">
        <v>2</v>
      </c>
      <c r="F16" s="21" t="n">
        <v>95</v>
      </c>
      <c r="G16" s="13" t="n">
        <f aca="false">E16*F16</f>
        <v>190</v>
      </c>
      <c r="H16" s="29" t="s">
        <v>82</v>
      </c>
      <c r="I16" s="29" t="s">
        <v>78</v>
      </c>
      <c r="J16" s="29" t="s">
        <v>78</v>
      </c>
      <c r="K16" s="30" t="s">
        <v>91</v>
      </c>
    </row>
    <row r="17" customFormat="false" ht="15" hidden="false" customHeight="false" outlineLevel="0" collapsed="false">
      <c r="B17" s="5" t="s">
        <v>108</v>
      </c>
      <c r="C17" s="29" t="s">
        <v>99</v>
      </c>
      <c r="D17" s="29" t="s">
        <v>109</v>
      </c>
      <c r="E17" s="23" t="n">
        <v>1</v>
      </c>
      <c r="F17" s="21" t="n">
        <v>85</v>
      </c>
      <c r="G17" s="13" t="n">
        <f aca="false">E17*F17</f>
        <v>85</v>
      </c>
      <c r="H17" s="29" t="s">
        <v>82</v>
      </c>
      <c r="I17" s="29" t="s">
        <v>82</v>
      </c>
      <c r="J17" s="29" t="s">
        <v>78</v>
      </c>
      <c r="K17" s="30" t="s">
        <v>110</v>
      </c>
    </row>
    <row r="18" customFormat="false" ht="15" hidden="false" customHeight="false" outlineLevel="0" collapsed="false">
      <c r="B18" s="5" t="s">
        <v>111</v>
      </c>
      <c r="C18" s="29" t="s">
        <v>99</v>
      </c>
      <c r="D18" s="29" t="s">
        <v>112</v>
      </c>
      <c r="E18" s="23" t="n">
        <v>1</v>
      </c>
      <c r="F18" s="21" t="n">
        <v>245</v>
      </c>
      <c r="G18" s="13" t="n">
        <f aca="false">E18*F18</f>
        <v>245</v>
      </c>
      <c r="H18" s="29" t="s">
        <v>82</v>
      </c>
      <c r="I18" s="29" t="s">
        <v>78</v>
      </c>
      <c r="J18" s="29" t="s">
        <v>78</v>
      </c>
      <c r="K18" s="30" t="s">
        <v>113</v>
      </c>
    </row>
    <row r="19" customFormat="false" ht="15" hidden="false" customHeight="false" outlineLevel="0" collapsed="false">
      <c r="B19" s="5" t="s">
        <v>114</v>
      </c>
      <c r="C19" s="29" t="s">
        <v>99</v>
      </c>
      <c r="D19" s="29" t="s">
        <v>112</v>
      </c>
      <c r="E19" s="23" t="n">
        <v>1</v>
      </c>
      <c r="F19" s="21" t="n">
        <v>165</v>
      </c>
      <c r="G19" s="13" t="n">
        <f aca="false">E19*F19</f>
        <v>165</v>
      </c>
      <c r="H19" s="29" t="s">
        <v>82</v>
      </c>
      <c r="I19" s="29" t="s">
        <v>78</v>
      </c>
      <c r="J19" s="29" t="s">
        <v>78</v>
      </c>
      <c r="K19" s="30" t="s">
        <v>115</v>
      </c>
    </row>
    <row r="20" customFormat="false" ht="15" hidden="false" customHeight="false" outlineLevel="0" collapsed="false">
      <c r="B20" s="5" t="s">
        <v>116</v>
      </c>
      <c r="C20" s="29" t="s">
        <v>99</v>
      </c>
      <c r="D20" s="29" t="s">
        <v>112</v>
      </c>
      <c r="E20" s="23" t="n">
        <v>1</v>
      </c>
      <c r="F20" s="21" t="n">
        <v>385</v>
      </c>
      <c r="G20" s="13" t="n">
        <f aca="false">E20*F20</f>
        <v>385</v>
      </c>
      <c r="H20" s="29" t="s">
        <v>82</v>
      </c>
      <c r="I20" s="29" t="s">
        <v>82</v>
      </c>
      <c r="J20" s="29" t="s">
        <v>78</v>
      </c>
      <c r="K20" s="30" t="s">
        <v>117</v>
      </c>
    </row>
    <row r="21" customFormat="false" ht="15" hidden="false" customHeight="false" outlineLevel="0" collapsed="false">
      <c r="B21" s="5" t="s">
        <v>118</v>
      </c>
      <c r="C21" s="29" t="s">
        <v>99</v>
      </c>
      <c r="D21" s="29" t="s">
        <v>119</v>
      </c>
      <c r="E21" s="23" t="n">
        <v>0.5</v>
      </c>
      <c r="F21" s="21" t="n">
        <v>525</v>
      </c>
      <c r="G21" s="13" t="n">
        <f aca="false">E21*F21</f>
        <v>262.5</v>
      </c>
      <c r="H21" s="29" t="s">
        <v>82</v>
      </c>
      <c r="I21" s="29" t="s">
        <v>82</v>
      </c>
      <c r="J21" s="29" t="s">
        <v>78</v>
      </c>
      <c r="K21" s="30" t="s">
        <v>120</v>
      </c>
    </row>
    <row r="22" customFormat="false" ht="15" hidden="false" customHeight="false" outlineLevel="0" collapsed="false">
      <c r="B22" s="5" t="s">
        <v>121</v>
      </c>
      <c r="C22" s="29" t="s">
        <v>122</v>
      </c>
      <c r="D22" s="29" t="s">
        <v>123</v>
      </c>
      <c r="E22" s="23" t="n">
        <v>12</v>
      </c>
      <c r="F22" s="21" t="n">
        <v>220</v>
      </c>
      <c r="G22" s="13" t="n">
        <f aca="false">E22*F22</f>
        <v>2640</v>
      </c>
      <c r="H22" s="29" t="s">
        <v>82</v>
      </c>
      <c r="I22" s="29" t="s">
        <v>82</v>
      </c>
      <c r="J22" s="29" t="s">
        <v>78</v>
      </c>
      <c r="K22" s="30" t="s">
        <v>124</v>
      </c>
    </row>
    <row r="23" customFormat="false" ht="15" hidden="false" customHeight="false" outlineLevel="0" collapsed="false">
      <c r="B23" s="5" t="s">
        <v>125</v>
      </c>
      <c r="C23" s="29" t="s">
        <v>126</v>
      </c>
      <c r="D23" s="29" t="s">
        <v>90</v>
      </c>
      <c r="E23" s="23" t="n">
        <v>2</v>
      </c>
      <c r="F23" s="21" t="n">
        <v>145</v>
      </c>
      <c r="G23" s="13" t="n">
        <f aca="false">E23*F23</f>
        <v>290</v>
      </c>
      <c r="H23" s="29" t="s">
        <v>82</v>
      </c>
      <c r="I23" s="29" t="s">
        <v>78</v>
      </c>
      <c r="J23" s="29" t="s">
        <v>78</v>
      </c>
      <c r="K23" s="30" t="s">
        <v>127</v>
      </c>
    </row>
    <row r="24" customFormat="false" ht="15" hidden="false" customHeight="false" outlineLevel="0" collapsed="false">
      <c r="B24" s="5" t="s">
        <v>128</v>
      </c>
      <c r="C24" s="29" t="s">
        <v>126</v>
      </c>
      <c r="D24" s="29" t="s">
        <v>112</v>
      </c>
      <c r="E24" s="23" t="n">
        <v>1</v>
      </c>
      <c r="F24" s="21" t="n">
        <v>125</v>
      </c>
      <c r="G24" s="13" t="n">
        <f aca="false">E24*F24</f>
        <v>125</v>
      </c>
      <c r="H24" s="29" t="s">
        <v>82</v>
      </c>
      <c r="I24" s="29" t="s">
        <v>78</v>
      </c>
      <c r="J24" s="29" t="s">
        <v>78</v>
      </c>
      <c r="K24" s="30" t="s">
        <v>129</v>
      </c>
    </row>
    <row r="25" customFormat="false" ht="15" hidden="false" customHeight="false" outlineLevel="0" collapsed="false">
      <c r="B25" s="5" t="s">
        <v>130</v>
      </c>
      <c r="C25" s="29" t="s">
        <v>126</v>
      </c>
      <c r="D25" s="29" t="s">
        <v>112</v>
      </c>
      <c r="E25" s="23" t="n">
        <v>1</v>
      </c>
      <c r="F25" s="21" t="n">
        <v>0</v>
      </c>
      <c r="G25" s="13" t="n">
        <f aca="false">E25*F25</f>
        <v>0</v>
      </c>
      <c r="H25" s="29" t="s">
        <v>78</v>
      </c>
      <c r="I25" s="29" t="s">
        <v>78</v>
      </c>
      <c r="J25" s="29" t="s">
        <v>78</v>
      </c>
      <c r="K25" s="30" t="s">
        <v>131</v>
      </c>
    </row>
    <row r="27" customFormat="false" ht="15" hidden="false" customHeight="false" outlineLevel="0" collapsed="false">
      <c r="B27" s="19" t="s">
        <v>132</v>
      </c>
      <c r="D27" s="31" t="s">
        <v>4</v>
      </c>
      <c r="E27" s="9" t="n">
        <f aca="false">SUMIF(H6:H25,"Y",G6:G25)</f>
        <v>3048</v>
      </c>
    </row>
    <row r="28" customFormat="false" ht="15" hidden="false" customHeight="false" outlineLevel="0" collapsed="false">
      <c r="D28" s="31" t="s">
        <v>5</v>
      </c>
      <c r="E28" s="9" t="n">
        <f aca="false">SUMIF(I6:I25,"Y",G6:G25)</f>
        <v>5033</v>
      </c>
    </row>
    <row r="29" customFormat="false" ht="15" hidden="false" customHeight="false" outlineLevel="0" collapsed="false">
      <c r="D29" s="31" t="s">
        <v>6</v>
      </c>
      <c r="E29" s="9" t="n">
        <f aca="false">SUMIF(J6:J25,"Y",G6:G25)</f>
        <v>9200.5</v>
      </c>
    </row>
    <row r="31" customFormat="false" ht="15" hidden="false" customHeight="false" outlineLevel="0" collapsed="false">
      <c r="B31" s="32" t="s">
        <v>133</v>
      </c>
    </row>
    <row r="32" customFormat="false" ht="15" hidden="false" customHeight="false" outlineLevel="0" collapsed="false">
      <c r="B32" s="2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40"/>
  </cols>
  <sheetData>
    <row r="2" customFormat="false" ht="22.05" hidden="false" customHeight="false" outlineLevel="0" collapsed="false">
      <c r="B2" s="17" t="s">
        <v>135</v>
      </c>
    </row>
    <row r="3" customFormat="false" ht="15" hidden="false" customHeight="false" outlineLevel="0" collapsed="false">
      <c r="B3" s="2" t="s">
        <v>136</v>
      </c>
    </row>
    <row r="5" customFormat="false" ht="27.75" hidden="false" customHeight="true" outlineLevel="0" collapsed="false">
      <c r="B5" s="4" t="s">
        <v>3</v>
      </c>
      <c r="C5" s="4" t="s">
        <v>19</v>
      </c>
      <c r="D5" s="4" t="s">
        <v>20</v>
      </c>
      <c r="E5" s="4" t="s">
        <v>21</v>
      </c>
      <c r="F5" s="4" t="s">
        <v>38</v>
      </c>
    </row>
    <row r="6" customFormat="false" ht="15" hidden="false" customHeight="false" outlineLevel="0" collapsed="false">
      <c r="B6" s="3" t="s">
        <v>137</v>
      </c>
      <c r="C6" s="3"/>
      <c r="D6" s="3"/>
      <c r="E6" s="3"/>
      <c r="F6" s="3"/>
    </row>
    <row r="7" customFormat="false" ht="15" hidden="false" customHeight="false" outlineLevel="0" collapsed="false">
      <c r="B7" s="0" t="s">
        <v>138</v>
      </c>
      <c r="C7" s="18" t="n">
        <v>30</v>
      </c>
      <c r="D7" s="18" t="n">
        <v>60</v>
      </c>
      <c r="E7" s="18" t="n">
        <v>100</v>
      </c>
      <c r="F7" s="0" t="s">
        <v>139</v>
      </c>
    </row>
    <row r="9" customFormat="false" ht="15" hidden="false" customHeight="false" outlineLevel="0" collapsed="false">
      <c r="B9" s="3" t="s">
        <v>140</v>
      </c>
      <c r="C9" s="3"/>
      <c r="D9" s="3"/>
      <c r="E9" s="3"/>
      <c r="F9" s="3"/>
    </row>
    <row r="10" customFormat="false" ht="15" hidden="false" customHeight="false" outlineLevel="0" collapsed="false">
      <c r="B10" s="0" t="s">
        <v>141</v>
      </c>
      <c r="C10" s="33" t="n">
        <v>0.5</v>
      </c>
      <c r="D10" s="33" t="n">
        <v>0.4</v>
      </c>
      <c r="E10" s="33" t="n">
        <v>0.3</v>
      </c>
    </row>
    <row r="11" customFormat="false" ht="15" hidden="false" customHeight="false" outlineLevel="0" collapsed="false">
      <c r="B11" s="0" t="s">
        <v>142</v>
      </c>
      <c r="C11" s="33" t="n">
        <v>0.3</v>
      </c>
      <c r="D11" s="33" t="n">
        <v>0.35</v>
      </c>
      <c r="E11" s="33" t="n">
        <v>0.35</v>
      </c>
    </row>
    <row r="12" customFormat="false" ht="15" hidden="false" customHeight="false" outlineLevel="0" collapsed="false">
      <c r="B12" s="0" t="s">
        <v>143</v>
      </c>
      <c r="C12" s="33" t="n">
        <v>0.15</v>
      </c>
      <c r="D12" s="33" t="n">
        <v>0.2</v>
      </c>
      <c r="E12" s="33" t="n">
        <v>0.25</v>
      </c>
    </row>
    <row r="13" customFormat="false" ht="15" hidden="false" customHeight="false" outlineLevel="0" collapsed="false">
      <c r="B13" s="0" t="s">
        <v>144</v>
      </c>
      <c r="C13" s="33" t="n">
        <v>0.05</v>
      </c>
      <c r="D13" s="33" t="n">
        <v>0.05</v>
      </c>
      <c r="E13" s="33" t="n">
        <v>0.1</v>
      </c>
    </row>
    <row r="14" customFormat="false" ht="15" hidden="false" customHeight="false" outlineLevel="0" collapsed="false">
      <c r="B14" s="22" t="s">
        <v>145</v>
      </c>
      <c r="C14" s="34" t="n">
        <f aca="false">SUM(C10:C13)</f>
        <v>1</v>
      </c>
      <c r="D14" s="34" t="n">
        <f aca="false">SUM(D10:D13)</f>
        <v>1</v>
      </c>
      <c r="E14" s="34" t="n">
        <f aca="false">SUM(E10:E13)</f>
        <v>1</v>
      </c>
    </row>
    <row r="16" customFormat="false" ht="15" hidden="false" customHeight="false" outlineLevel="0" collapsed="false">
      <c r="B16" s="3" t="s">
        <v>146</v>
      </c>
      <c r="C16" s="3"/>
      <c r="D16" s="3"/>
      <c r="E16" s="3"/>
      <c r="F16" s="3"/>
    </row>
    <row r="17" customFormat="false" ht="15" hidden="false" customHeight="false" outlineLevel="0" collapsed="false">
      <c r="B17" s="0" t="s">
        <v>147</v>
      </c>
      <c r="C17" s="12" t="n">
        <f aca="false">C7*C10</f>
        <v>15</v>
      </c>
      <c r="D17" s="12" t="n">
        <f aca="false">D7*D10</f>
        <v>24</v>
      </c>
      <c r="E17" s="12" t="n">
        <f aca="false">E7*E10</f>
        <v>30</v>
      </c>
    </row>
    <row r="18" customFormat="false" ht="15" hidden="false" customHeight="false" outlineLevel="0" collapsed="false">
      <c r="B18" s="0" t="s">
        <v>148</v>
      </c>
      <c r="C18" s="12" t="n">
        <f aca="false">C7*C11</f>
        <v>9</v>
      </c>
      <c r="D18" s="12" t="n">
        <f aca="false">D7*D11</f>
        <v>21</v>
      </c>
      <c r="E18" s="12" t="n">
        <f aca="false">E7*E11</f>
        <v>35</v>
      </c>
    </row>
    <row r="19" customFormat="false" ht="15" hidden="false" customHeight="false" outlineLevel="0" collapsed="false">
      <c r="B19" s="0" t="s">
        <v>149</v>
      </c>
      <c r="C19" s="12" t="n">
        <f aca="false">C7*C12</f>
        <v>4.5</v>
      </c>
      <c r="D19" s="12" t="n">
        <f aca="false">D7*D12</f>
        <v>12</v>
      </c>
      <c r="E19" s="12" t="n">
        <f aca="false">E7*E12</f>
        <v>25</v>
      </c>
    </row>
    <row r="20" customFormat="false" ht="15" hidden="false" customHeight="false" outlineLevel="0" collapsed="false">
      <c r="B20" s="0" t="s">
        <v>150</v>
      </c>
      <c r="C20" s="12" t="n">
        <f aca="false">C7*C13</f>
        <v>1.5</v>
      </c>
      <c r="D20" s="12" t="n">
        <f aca="false">D7*D13</f>
        <v>3</v>
      </c>
      <c r="E20" s="12" t="n">
        <f aca="false">E7*E13</f>
        <v>10</v>
      </c>
    </row>
    <row r="22" customFormat="false" ht="15" hidden="false" customHeight="false" outlineLevel="0" collapsed="false">
      <c r="B22" s="3" t="s">
        <v>151</v>
      </c>
      <c r="C22" s="3"/>
      <c r="D22" s="3"/>
      <c r="E22" s="3"/>
      <c r="F22" s="3"/>
    </row>
    <row r="23" customFormat="false" ht="15" hidden="false" customHeight="false" outlineLevel="0" collapsed="false">
      <c r="B23" s="0" t="s">
        <v>152</v>
      </c>
      <c r="C23" s="13" t="n">
        <f aca="false">C17*'1. Tier Economics'!$C$13</f>
        <v>38520</v>
      </c>
      <c r="D23" s="13" t="n">
        <f aca="false">D17*'1. Tier Economics'!$C$13</f>
        <v>61632</v>
      </c>
      <c r="E23" s="13" t="n">
        <f aca="false">E17*'1. Tier Economics'!$C$13</f>
        <v>77040</v>
      </c>
    </row>
    <row r="24" customFormat="false" ht="15" hidden="false" customHeight="false" outlineLevel="0" collapsed="false">
      <c r="B24" s="0" t="s">
        <v>153</v>
      </c>
      <c r="C24" s="13" t="n">
        <f aca="false">C18*'1. Tier Economics'!$D$13</f>
        <v>41040</v>
      </c>
      <c r="D24" s="13" t="n">
        <f aca="false">D18*'1. Tier Economics'!$D$13</f>
        <v>95760</v>
      </c>
      <c r="E24" s="13" t="n">
        <f aca="false">E18*'1. Tier Economics'!$D$13</f>
        <v>159600</v>
      </c>
    </row>
    <row r="25" customFormat="false" ht="15" hidden="false" customHeight="false" outlineLevel="0" collapsed="false">
      <c r="B25" s="0" t="s">
        <v>154</v>
      </c>
      <c r="C25" s="13" t="n">
        <f aca="false">C19*'1. Tier Economics'!$E$13</f>
        <v>32400</v>
      </c>
      <c r="D25" s="13" t="n">
        <f aca="false">D19*'1. Tier Economics'!$E$13</f>
        <v>86400</v>
      </c>
      <c r="E25" s="13" t="n">
        <f aca="false">E19*'1. Tier Economics'!$E$13</f>
        <v>180000</v>
      </c>
    </row>
    <row r="26" customFormat="false" ht="15" hidden="false" customHeight="false" outlineLevel="0" collapsed="false">
      <c r="B26" s="0" t="s">
        <v>155</v>
      </c>
      <c r="C26" s="13" t="n">
        <f aca="false">C20*'1. Tier Economics'!$F$13</f>
        <v>3771</v>
      </c>
      <c r="D26" s="13" t="n">
        <f aca="false">D20*'1. Tier Economics'!$F$13</f>
        <v>7542</v>
      </c>
      <c r="E26" s="13" t="n">
        <f aca="false">E20*'1. Tier Economics'!$F$13</f>
        <v>25140</v>
      </c>
    </row>
    <row r="27" customFormat="false" ht="15" hidden="false" customHeight="false" outlineLevel="0" collapsed="false">
      <c r="B27" s="19" t="s">
        <v>156</v>
      </c>
      <c r="C27" s="9" t="n">
        <f aca="false">SUM(C23:C26)</f>
        <v>115731</v>
      </c>
      <c r="D27" s="9" t="n">
        <f aca="false">SUM(D23:D26)</f>
        <v>251334</v>
      </c>
      <c r="E27" s="9" t="n">
        <f aca="false">SUM(E23:E26)</f>
        <v>441780</v>
      </c>
    </row>
    <row r="29" customFormat="false" ht="15" hidden="false" customHeight="false" outlineLevel="0" collapsed="false">
      <c r="B29" s="3" t="s">
        <v>157</v>
      </c>
      <c r="C29" s="3"/>
      <c r="D29" s="3"/>
      <c r="E29" s="3"/>
      <c r="F29" s="3"/>
    </row>
    <row r="30" customFormat="false" ht="15" hidden="false" customHeight="false" outlineLevel="0" collapsed="false">
      <c r="B30" s="0" t="s">
        <v>158</v>
      </c>
      <c r="C30" s="13" t="n">
        <f aca="false">C17*'1. Tier Economics'!$C$24</f>
        <v>28080</v>
      </c>
      <c r="D30" s="13" t="n">
        <f aca="false">D17*'1. Tier Economics'!$C$24</f>
        <v>44928</v>
      </c>
      <c r="E30" s="13" t="n">
        <f aca="false">E17*'1. Tier Economics'!$C$24</f>
        <v>56160</v>
      </c>
    </row>
    <row r="31" customFormat="false" ht="15" hidden="false" customHeight="false" outlineLevel="0" collapsed="false">
      <c r="B31" s="0" t="s">
        <v>159</v>
      </c>
      <c r="C31" s="13" t="n">
        <f aca="false">C18*'1. Tier Economics'!$D$24</f>
        <v>29916</v>
      </c>
      <c r="D31" s="13" t="n">
        <f aca="false">D18*'1. Tier Economics'!$D$24</f>
        <v>69804</v>
      </c>
      <c r="E31" s="13" t="n">
        <f aca="false">E18*'1. Tier Economics'!$D$24</f>
        <v>116340</v>
      </c>
    </row>
    <row r="32" customFormat="false" ht="15" hidden="false" customHeight="false" outlineLevel="0" collapsed="false">
      <c r="B32" s="0" t="s">
        <v>160</v>
      </c>
      <c r="C32" s="13" t="n">
        <f aca="false">C19*'1. Tier Economics'!$E$24</f>
        <v>23598</v>
      </c>
      <c r="D32" s="13" t="n">
        <f aca="false">D19*'1. Tier Economics'!$E$24</f>
        <v>62928</v>
      </c>
      <c r="E32" s="13" t="n">
        <f aca="false">E19*'1. Tier Economics'!$E$24</f>
        <v>131100</v>
      </c>
    </row>
    <row r="33" customFormat="false" ht="15" hidden="false" customHeight="false" outlineLevel="0" collapsed="false">
      <c r="B33" s="0" t="s">
        <v>161</v>
      </c>
      <c r="C33" s="13" t="n">
        <f aca="false">C20*'1. Tier Economics'!$F$24</f>
        <v>2439</v>
      </c>
      <c r="D33" s="13" t="n">
        <f aca="false">D20*'1. Tier Economics'!$F$24</f>
        <v>4878</v>
      </c>
      <c r="E33" s="13" t="n">
        <f aca="false">E20*'1. Tier Economics'!$F$24</f>
        <v>16260</v>
      </c>
    </row>
    <row r="34" customFormat="false" ht="15" hidden="false" customHeight="false" outlineLevel="0" collapsed="false">
      <c r="B34" s="19" t="s">
        <v>162</v>
      </c>
      <c r="C34" s="9" t="n">
        <f aca="false">SUM(C30:C33)</f>
        <v>84033</v>
      </c>
      <c r="D34" s="9" t="n">
        <f aca="false">SUM(D30:D33)</f>
        <v>182538</v>
      </c>
      <c r="E34" s="9" t="n">
        <f aca="false">SUM(E30:E33)</f>
        <v>319860</v>
      </c>
    </row>
    <row r="36" customFormat="false" ht="15" hidden="false" customHeight="false" outlineLevel="0" collapsed="false">
      <c r="B36" s="3" t="s">
        <v>163</v>
      </c>
      <c r="C36" s="3"/>
      <c r="D36" s="3"/>
      <c r="E36" s="3"/>
      <c r="F36" s="3"/>
    </row>
    <row r="37" customFormat="false" ht="15" hidden="false" customHeight="false" outlineLevel="0" collapsed="false">
      <c r="B37" s="0" t="s">
        <v>164</v>
      </c>
      <c r="C37" s="13" t="n">
        <f aca="false">-'6. Assumptions'!$C$12*12</f>
        <v>-48000</v>
      </c>
      <c r="D37" s="13" t="n">
        <f aca="false">-'6. Assumptions'!$C$12*12</f>
        <v>-48000</v>
      </c>
      <c r="E37" s="13" t="n">
        <f aca="false">-'6. Assumptions'!$C$12*12</f>
        <v>-48000</v>
      </c>
    </row>
    <row r="38" customFormat="false" ht="15" hidden="false" customHeight="false" outlineLevel="0" collapsed="false">
      <c r="B38" s="0" t="s">
        <v>165</v>
      </c>
      <c r="C38" s="13" t="n">
        <f aca="false">-IF(C7&gt;='6. Assumptions'!$C$13,'6. Assumptions'!$C$14,0)</f>
        <v>-0</v>
      </c>
      <c r="D38" s="13" t="n">
        <f aca="false">-IF(D7&gt;='6. Assumptions'!$C$13,'6. Assumptions'!$C$14,0)</f>
        <v>-45000</v>
      </c>
      <c r="E38" s="13" t="n">
        <f aca="false">-IF(E7&gt;='6. Assumptions'!$C$13,'6. Assumptions'!$C$14,0)</f>
        <v>-45000</v>
      </c>
    </row>
    <row r="39" customFormat="false" ht="15" hidden="false" customHeight="false" outlineLevel="0" collapsed="false">
      <c r="B39" s="0" t="s">
        <v>166</v>
      </c>
      <c r="C39" s="13" t="n">
        <f aca="false">-C7*'6. Assumptions'!$C$19</f>
        <v>-10500</v>
      </c>
      <c r="D39" s="13" t="n">
        <f aca="false">-D7*'6. Assumptions'!$C$19</f>
        <v>-21000</v>
      </c>
      <c r="E39" s="13" t="n">
        <f aca="false">-E7*'6. Assumptions'!$C$19</f>
        <v>-35000</v>
      </c>
    </row>
    <row r="41" customFormat="false" ht="15" hidden="false" customHeight="false" outlineLevel="0" collapsed="false">
      <c r="B41" s="25" t="s">
        <v>167</v>
      </c>
      <c r="C41" s="26" t="n">
        <f aca="false">C34+C37+C38+C39</f>
        <v>25533</v>
      </c>
      <c r="D41" s="26" t="n">
        <f aca="false">D34+D37+D38+D39</f>
        <v>68538</v>
      </c>
      <c r="E41" s="26" t="n">
        <f aca="false">E34+E37+E38+E39</f>
        <v>191860</v>
      </c>
    </row>
    <row r="42" customFormat="false" ht="15" hidden="false" customHeight="false" outlineLevel="0" collapsed="false">
      <c r="B42" s="0" t="s">
        <v>168</v>
      </c>
      <c r="C42" s="27" t="n">
        <f aca="false">IFERROR(C41/C27,0)</f>
        <v>0.220623687689556</v>
      </c>
      <c r="D42" s="27" t="n">
        <f aca="false">IFERROR(D41/D27,0)</f>
        <v>0.272696889398171</v>
      </c>
      <c r="E42" s="27" t="n">
        <f aca="false">IFERROR(E41/E27,0)</f>
        <v>0.434288559916701</v>
      </c>
    </row>
    <row r="44" customFormat="false" ht="15" hidden="false" customHeight="false" outlineLevel="0" collapsed="false">
      <c r="B44" s="0" t="s">
        <v>169</v>
      </c>
      <c r="C44" s="13" t="n">
        <f aca="false">IFERROR(C27/C7,0)</f>
        <v>3857.7</v>
      </c>
      <c r="D44" s="13" t="n">
        <f aca="false">IFERROR(D27/D7,0)</f>
        <v>4188.9</v>
      </c>
      <c r="E44" s="13" t="n">
        <f aca="false">IFERROR(E27/E7,0)</f>
        <v>4417.8</v>
      </c>
    </row>
    <row r="45" customFormat="false" ht="15" hidden="false" customHeight="false" outlineLevel="0" collapsed="false">
      <c r="B45" s="0" t="s">
        <v>170</v>
      </c>
      <c r="C45" s="13" t="n">
        <f aca="false">IFERROR(C34/C7,0)</f>
        <v>2801.1</v>
      </c>
      <c r="D45" s="13" t="n">
        <f aca="false">IFERROR(D34/D7,0)</f>
        <v>3042.3</v>
      </c>
      <c r="E45" s="13" t="n">
        <f aca="false">IFERROR(E34/E7,0)</f>
        <v>3198.6</v>
      </c>
    </row>
  </sheetData>
  <mergeCells count="6">
    <mergeCell ref="B6:F6"/>
    <mergeCell ref="B9:F9"/>
    <mergeCell ref="B16:F16"/>
    <mergeCell ref="B22:F22"/>
    <mergeCell ref="B29:F29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1" min="3" style="0" width="13"/>
  </cols>
  <sheetData>
    <row r="2" customFormat="false" ht="22.05" hidden="false" customHeight="false" outlineLevel="0" collapsed="false">
      <c r="B2" s="17" t="s">
        <v>171</v>
      </c>
    </row>
    <row r="3" customFormat="false" ht="15" hidden="false" customHeight="false" outlineLevel="0" collapsed="false">
      <c r="B3" s="2" t="s">
        <v>172</v>
      </c>
    </row>
    <row r="5" customFormat="false" ht="15" hidden="false" customHeight="false" outlineLevel="0" collapsed="false">
      <c r="B5" s="19" t="s">
        <v>173</v>
      </c>
    </row>
    <row r="7" customFormat="false" ht="15" hidden="false" customHeight="false" outlineLevel="0" collapsed="false">
      <c r="B7" s="4" t="s">
        <v>174</v>
      </c>
      <c r="C7" s="35" t="n">
        <v>350</v>
      </c>
      <c r="D7" s="35" t="n">
        <v>400</v>
      </c>
      <c r="E7" s="35" t="n">
        <v>450</v>
      </c>
      <c r="F7" s="35" t="n">
        <v>500</v>
      </c>
      <c r="G7" s="35" t="n">
        <v>550</v>
      </c>
      <c r="H7" s="35" t="n">
        <v>600</v>
      </c>
      <c r="I7" s="35" t="n">
        <v>650</v>
      </c>
      <c r="J7" s="35" t="n">
        <v>700</v>
      </c>
    </row>
    <row r="8" customFormat="false" ht="15" hidden="false" customHeight="false" outlineLevel="0" collapsed="false">
      <c r="B8" s="36" t="n">
        <v>10</v>
      </c>
      <c r="C8" s="13" t="n">
        <f aca="false">(C$7*12)+'1. Tier Economics'!$E$10-($B8*'1. Tier Economics'!$E$17)-'1. Tier Economics'!$E$19-'1. Tier Economics'!$E$20-'1. Tier Economics'!$E$21</f>
        <v>3594</v>
      </c>
      <c r="D8" s="13" t="n">
        <f aca="false">(D$7*12)+'1. Tier Economics'!$E$10-($B8*'1. Tier Economics'!$E$17)-'1. Tier Economics'!$E$19-'1. Tier Economics'!$E$20-'1. Tier Economics'!$E$21</f>
        <v>4194</v>
      </c>
      <c r="E8" s="13" t="n">
        <f aca="false">(E$7*12)+'1. Tier Economics'!$E$10-($B8*'1. Tier Economics'!$E$17)-'1. Tier Economics'!$E$19-'1. Tier Economics'!$E$20-'1. Tier Economics'!$E$21</f>
        <v>4794</v>
      </c>
      <c r="F8" s="13" t="n">
        <f aca="false">(F$7*12)+'1. Tier Economics'!$E$10-($B8*'1. Tier Economics'!$E$17)-'1. Tier Economics'!$E$19-'1. Tier Economics'!$E$20-'1. Tier Economics'!$E$21</f>
        <v>5394</v>
      </c>
      <c r="G8" s="13" t="n">
        <f aca="false">(G$7*12)+'1. Tier Economics'!$E$10-($B8*'1. Tier Economics'!$E$17)-'1. Tier Economics'!$E$19-'1. Tier Economics'!$E$20-'1. Tier Economics'!$E$21</f>
        <v>5994</v>
      </c>
      <c r="H8" s="13" t="n">
        <f aca="false">(H$7*12)+'1. Tier Economics'!$E$10-($B8*'1. Tier Economics'!$E$17)-'1. Tier Economics'!$E$19-'1. Tier Economics'!$E$20-'1. Tier Economics'!$E$21</f>
        <v>6594</v>
      </c>
      <c r="I8" s="13" t="n">
        <f aca="false">(I$7*12)+'1. Tier Economics'!$E$10-($B8*'1. Tier Economics'!$E$17)-'1. Tier Economics'!$E$19-'1. Tier Economics'!$E$20-'1. Tier Economics'!$E$21</f>
        <v>7194</v>
      </c>
      <c r="J8" s="13" t="n">
        <f aca="false">(J$7*12)+'1. Tier Economics'!$E$10-($B8*'1. Tier Economics'!$E$17)-'1. Tier Economics'!$E$19-'1. Tier Economics'!$E$20-'1. Tier Economics'!$E$21</f>
        <v>7794</v>
      </c>
    </row>
    <row r="9" customFormat="false" ht="15" hidden="false" customHeight="false" outlineLevel="0" collapsed="false">
      <c r="B9" s="36" t="n">
        <v>14</v>
      </c>
      <c r="C9" s="13" t="n">
        <f aca="false">(C$7*12)+'1. Tier Economics'!$E$10-($B9*'1. Tier Economics'!$E$17)-'1. Tier Economics'!$E$19-'1. Tier Economics'!$E$20-'1. Tier Economics'!$E$21</f>
        <v>3294</v>
      </c>
      <c r="D9" s="13" t="n">
        <f aca="false">(D$7*12)+'1. Tier Economics'!$E$10-($B9*'1. Tier Economics'!$E$17)-'1. Tier Economics'!$E$19-'1. Tier Economics'!$E$20-'1. Tier Economics'!$E$21</f>
        <v>3894</v>
      </c>
      <c r="E9" s="13" t="n">
        <f aca="false">(E$7*12)+'1. Tier Economics'!$E$10-($B9*'1. Tier Economics'!$E$17)-'1. Tier Economics'!$E$19-'1. Tier Economics'!$E$20-'1. Tier Economics'!$E$21</f>
        <v>4494</v>
      </c>
      <c r="F9" s="13" t="n">
        <f aca="false">(F$7*12)+'1. Tier Economics'!$E$10-($B9*'1. Tier Economics'!$E$17)-'1. Tier Economics'!$E$19-'1. Tier Economics'!$E$20-'1. Tier Economics'!$E$21</f>
        <v>5094</v>
      </c>
      <c r="G9" s="13" t="n">
        <f aca="false">(G$7*12)+'1. Tier Economics'!$E$10-($B9*'1. Tier Economics'!$E$17)-'1. Tier Economics'!$E$19-'1. Tier Economics'!$E$20-'1. Tier Economics'!$E$21</f>
        <v>5694</v>
      </c>
      <c r="H9" s="13" t="n">
        <f aca="false">(H$7*12)+'1. Tier Economics'!$E$10-($B9*'1. Tier Economics'!$E$17)-'1. Tier Economics'!$E$19-'1. Tier Economics'!$E$20-'1. Tier Economics'!$E$21</f>
        <v>6294</v>
      </c>
      <c r="I9" s="13" t="n">
        <f aca="false">(I$7*12)+'1. Tier Economics'!$E$10-($B9*'1. Tier Economics'!$E$17)-'1. Tier Economics'!$E$19-'1. Tier Economics'!$E$20-'1. Tier Economics'!$E$21</f>
        <v>6894</v>
      </c>
      <c r="J9" s="13" t="n">
        <f aca="false">(J$7*12)+'1. Tier Economics'!$E$10-($B9*'1. Tier Economics'!$E$17)-'1. Tier Economics'!$E$19-'1. Tier Economics'!$E$20-'1. Tier Economics'!$E$21</f>
        <v>7494</v>
      </c>
    </row>
    <row r="10" customFormat="false" ht="15" hidden="false" customHeight="false" outlineLevel="0" collapsed="false">
      <c r="B10" s="36" t="n">
        <v>18</v>
      </c>
      <c r="C10" s="13" t="n">
        <f aca="false">(C$7*12)+'1. Tier Economics'!$E$10-($B10*'1. Tier Economics'!$E$17)-'1. Tier Economics'!$E$19-'1. Tier Economics'!$E$20-'1. Tier Economics'!$E$21</f>
        <v>2994</v>
      </c>
      <c r="D10" s="13" t="n">
        <f aca="false">(D$7*12)+'1. Tier Economics'!$E$10-($B10*'1. Tier Economics'!$E$17)-'1. Tier Economics'!$E$19-'1. Tier Economics'!$E$20-'1. Tier Economics'!$E$21</f>
        <v>3594</v>
      </c>
      <c r="E10" s="13" t="n">
        <f aca="false">(E$7*12)+'1. Tier Economics'!$E$10-($B10*'1. Tier Economics'!$E$17)-'1. Tier Economics'!$E$19-'1. Tier Economics'!$E$20-'1. Tier Economics'!$E$21</f>
        <v>4194</v>
      </c>
      <c r="F10" s="13" t="n">
        <f aca="false">(F$7*12)+'1. Tier Economics'!$E$10-($B10*'1. Tier Economics'!$E$17)-'1. Tier Economics'!$E$19-'1. Tier Economics'!$E$20-'1. Tier Economics'!$E$21</f>
        <v>4794</v>
      </c>
      <c r="G10" s="13" t="n">
        <f aca="false">(G$7*12)+'1. Tier Economics'!$E$10-($B10*'1. Tier Economics'!$E$17)-'1. Tier Economics'!$E$19-'1. Tier Economics'!$E$20-'1. Tier Economics'!$E$21</f>
        <v>5394</v>
      </c>
      <c r="H10" s="13" t="n">
        <f aca="false">(H$7*12)+'1. Tier Economics'!$E$10-($B10*'1. Tier Economics'!$E$17)-'1. Tier Economics'!$E$19-'1. Tier Economics'!$E$20-'1. Tier Economics'!$E$21</f>
        <v>5994</v>
      </c>
      <c r="I10" s="13" t="n">
        <f aca="false">(I$7*12)+'1. Tier Economics'!$E$10-($B10*'1. Tier Economics'!$E$17)-'1. Tier Economics'!$E$19-'1. Tier Economics'!$E$20-'1. Tier Economics'!$E$21</f>
        <v>6594</v>
      </c>
      <c r="J10" s="13" t="n">
        <f aca="false">(J$7*12)+'1. Tier Economics'!$E$10-($B10*'1. Tier Economics'!$E$17)-'1. Tier Economics'!$E$19-'1. Tier Economics'!$E$20-'1. Tier Economics'!$E$21</f>
        <v>7194</v>
      </c>
    </row>
    <row r="11" customFormat="false" ht="15" hidden="false" customHeight="false" outlineLevel="0" collapsed="false">
      <c r="B11" s="36" t="n">
        <v>22</v>
      </c>
      <c r="C11" s="13" t="n">
        <f aca="false">(C$7*12)+'1. Tier Economics'!$E$10-($B11*'1. Tier Economics'!$E$17)-'1. Tier Economics'!$E$19-'1. Tier Economics'!$E$20-'1. Tier Economics'!$E$21</f>
        <v>2694</v>
      </c>
      <c r="D11" s="13" t="n">
        <f aca="false">(D$7*12)+'1. Tier Economics'!$E$10-($B11*'1. Tier Economics'!$E$17)-'1. Tier Economics'!$E$19-'1. Tier Economics'!$E$20-'1. Tier Economics'!$E$21</f>
        <v>3294</v>
      </c>
      <c r="E11" s="13" t="n">
        <f aca="false">(E$7*12)+'1. Tier Economics'!$E$10-($B11*'1. Tier Economics'!$E$17)-'1. Tier Economics'!$E$19-'1. Tier Economics'!$E$20-'1. Tier Economics'!$E$21</f>
        <v>3894</v>
      </c>
      <c r="F11" s="13" t="n">
        <f aca="false">(F$7*12)+'1. Tier Economics'!$E$10-($B11*'1. Tier Economics'!$E$17)-'1. Tier Economics'!$E$19-'1. Tier Economics'!$E$20-'1. Tier Economics'!$E$21</f>
        <v>4494</v>
      </c>
      <c r="G11" s="13" t="n">
        <f aca="false">(G$7*12)+'1. Tier Economics'!$E$10-($B11*'1. Tier Economics'!$E$17)-'1. Tier Economics'!$E$19-'1. Tier Economics'!$E$20-'1. Tier Economics'!$E$21</f>
        <v>5094</v>
      </c>
      <c r="H11" s="13" t="n">
        <f aca="false">(H$7*12)+'1. Tier Economics'!$E$10-($B11*'1. Tier Economics'!$E$17)-'1. Tier Economics'!$E$19-'1. Tier Economics'!$E$20-'1. Tier Economics'!$E$21</f>
        <v>5694</v>
      </c>
      <c r="I11" s="13" t="n">
        <f aca="false">(I$7*12)+'1. Tier Economics'!$E$10-($B11*'1. Tier Economics'!$E$17)-'1. Tier Economics'!$E$19-'1. Tier Economics'!$E$20-'1. Tier Economics'!$E$21</f>
        <v>6294</v>
      </c>
      <c r="J11" s="13" t="n">
        <f aca="false">(J$7*12)+'1. Tier Economics'!$E$10-($B11*'1. Tier Economics'!$E$17)-'1. Tier Economics'!$E$19-'1. Tier Economics'!$E$20-'1. Tier Economics'!$E$21</f>
        <v>6894</v>
      </c>
    </row>
    <row r="12" customFormat="false" ht="15" hidden="false" customHeight="false" outlineLevel="0" collapsed="false">
      <c r="B12" s="36" t="n">
        <v>26</v>
      </c>
      <c r="C12" s="13" t="n">
        <f aca="false">(C$7*12)+'1. Tier Economics'!$E$10-($B12*'1. Tier Economics'!$E$17)-'1. Tier Economics'!$E$19-'1. Tier Economics'!$E$20-'1. Tier Economics'!$E$21</f>
        <v>2394</v>
      </c>
      <c r="D12" s="13" t="n">
        <f aca="false">(D$7*12)+'1. Tier Economics'!$E$10-($B12*'1. Tier Economics'!$E$17)-'1. Tier Economics'!$E$19-'1. Tier Economics'!$E$20-'1. Tier Economics'!$E$21</f>
        <v>2994</v>
      </c>
      <c r="E12" s="13" t="n">
        <f aca="false">(E$7*12)+'1. Tier Economics'!$E$10-($B12*'1. Tier Economics'!$E$17)-'1. Tier Economics'!$E$19-'1. Tier Economics'!$E$20-'1. Tier Economics'!$E$21</f>
        <v>3594</v>
      </c>
      <c r="F12" s="13" t="n">
        <f aca="false">(F$7*12)+'1. Tier Economics'!$E$10-($B12*'1. Tier Economics'!$E$17)-'1. Tier Economics'!$E$19-'1. Tier Economics'!$E$20-'1. Tier Economics'!$E$21</f>
        <v>4194</v>
      </c>
      <c r="G12" s="13" t="n">
        <f aca="false">(G$7*12)+'1. Tier Economics'!$E$10-($B12*'1. Tier Economics'!$E$17)-'1. Tier Economics'!$E$19-'1. Tier Economics'!$E$20-'1. Tier Economics'!$E$21</f>
        <v>4794</v>
      </c>
      <c r="H12" s="13" t="n">
        <f aca="false">(H$7*12)+'1. Tier Economics'!$E$10-($B12*'1. Tier Economics'!$E$17)-'1. Tier Economics'!$E$19-'1. Tier Economics'!$E$20-'1. Tier Economics'!$E$21</f>
        <v>5394</v>
      </c>
      <c r="I12" s="13" t="n">
        <f aca="false">(I$7*12)+'1. Tier Economics'!$E$10-($B12*'1. Tier Economics'!$E$17)-'1. Tier Economics'!$E$19-'1. Tier Economics'!$E$20-'1. Tier Economics'!$E$21</f>
        <v>5994</v>
      </c>
      <c r="J12" s="13" t="n">
        <f aca="false">(J$7*12)+'1. Tier Economics'!$E$10-($B12*'1. Tier Economics'!$E$17)-'1. Tier Economics'!$E$19-'1. Tier Economics'!$E$20-'1. Tier Economics'!$E$21</f>
        <v>6594</v>
      </c>
    </row>
    <row r="13" customFormat="false" ht="15" hidden="false" customHeight="false" outlineLevel="0" collapsed="false">
      <c r="B13" s="36" t="n">
        <v>30</v>
      </c>
      <c r="C13" s="13" t="n">
        <f aca="false">(C$7*12)+'1. Tier Economics'!$E$10-($B13*'1. Tier Economics'!$E$17)-'1. Tier Economics'!$E$19-'1. Tier Economics'!$E$20-'1. Tier Economics'!$E$21</f>
        <v>2094</v>
      </c>
      <c r="D13" s="13" t="n">
        <f aca="false">(D$7*12)+'1. Tier Economics'!$E$10-($B13*'1. Tier Economics'!$E$17)-'1. Tier Economics'!$E$19-'1. Tier Economics'!$E$20-'1. Tier Economics'!$E$21</f>
        <v>2694</v>
      </c>
      <c r="E13" s="13" t="n">
        <f aca="false">(E$7*12)+'1. Tier Economics'!$E$10-($B13*'1. Tier Economics'!$E$17)-'1. Tier Economics'!$E$19-'1. Tier Economics'!$E$20-'1. Tier Economics'!$E$21</f>
        <v>3294</v>
      </c>
      <c r="F13" s="13" t="n">
        <f aca="false">(F$7*12)+'1. Tier Economics'!$E$10-($B13*'1. Tier Economics'!$E$17)-'1. Tier Economics'!$E$19-'1. Tier Economics'!$E$20-'1. Tier Economics'!$E$21</f>
        <v>3894</v>
      </c>
      <c r="G13" s="13" t="n">
        <f aca="false">(G$7*12)+'1. Tier Economics'!$E$10-($B13*'1. Tier Economics'!$E$17)-'1. Tier Economics'!$E$19-'1. Tier Economics'!$E$20-'1. Tier Economics'!$E$21</f>
        <v>4494</v>
      </c>
      <c r="H13" s="13" t="n">
        <f aca="false">(H$7*12)+'1. Tier Economics'!$E$10-($B13*'1. Tier Economics'!$E$17)-'1. Tier Economics'!$E$19-'1. Tier Economics'!$E$20-'1. Tier Economics'!$E$21</f>
        <v>5094</v>
      </c>
      <c r="I13" s="13" t="n">
        <f aca="false">(I$7*12)+'1. Tier Economics'!$E$10-($B13*'1. Tier Economics'!$E$17)-'1. Tier Economics'!$E$19-'1. Tier Economics'!$E$20-'1. Tier Economics'!$E$21</f>
        <v>5694</v>
      </c>
      <c r="J13" s="13" t="n">
        <f aca="false">(J$7*12)+'1. Tier Economics'!$E$10-($B13*'1. Tier Economics'!$E$17)-'1. Tier Economics'!$E$19-'1. Tier Economics'!$E$20-'1. Tier Economics'!$E$21</f>
        <v>6294</v>
      </c>
    </row>
    <row r="14" customFormat="false" ht="15" hidden="false" customHeight="false" outlineLevel="0" collapsed="false">
      <c r="B14" s="36" t="n">
        <v>36</v>
      </c>
      <c r="C14" s="13" t="n">
        <f aca="false">(C$7*12)+'1. Tier Economics'!$E$10-($B14*'1. Tier Economics'!$E$17)-'1. Tier Economics'!$E$19-'1. Tier Economics'!$E$20-'1. Tier Economics'!$E$21</f>
        <v>1644</v>
      </c>
      <c r="D14" s="13" t="n">
        <f aca="false">(D$7*12)+'1. Tier Economics'!$E$10-($B14*'1. Tier Economics'!$E$17)-'1. Tier Economics'!$E$19-'1. Tier Economics'!$E$20-'1. Tier Economics'!$E$21</f>
        <v>2244</v>
      </c>
      <c r="E14" s="13" t="n">
        <f aca="false">(E$7*12)+'1. Tier Economics'!$E$10-($B14*'1. Tier Economics'!$E$17)-'1. Tier Economics'!$E$19-'1. Tier Economics'!$E$20-'1. Tier Economics'!$E$21</f>
        <v>2844</v>
      </c>
      <c r="F14" s="13" t="n">
        <f aca="false">(F$7*12)+'1. Tier Economics'!$E$10-($B14*'1. Tier Economics'!$E$17)-'1. Tier Economics'!$E$19-'1. Tier Economics'!$E$20-'1. Tier Economics'!$E$21</f>
        <v>3444</v>
      </c>
      <c r="G14" s="13" t="n">
        <f aca="false">(G$7*12)+'1. Tier Economics'!$E$10-($B14*'1. Tier Economics'!$E$17)-'1. Tier Economics'!$E$19-'1. Tier Economics'!$E$20-'1. Tier Economics'!$E$21</f>
        <v>4044</v>
      </c>
      <c r="H14" s="13" t="n">
        <f aca="false">(H$7*12)+'1. Tier Economics'!$E$10-($B14*'1. Tier Economics'!$E$17)-'1. Tier Economics'!$E$19-'1. Tier Economics'!$E$20-'1. Tier Economics'!$E$21</f>
        <v>4644</v>
      </c>
      <c r="I14" s="13" t="n">
        <f aca="false">(I$7*12)+'1. Tier Economics'!$E$10-($B14*'1. Tier Economics'!$E$17)-'1. Tier Economics'!$E$19-'1. Tier Economics'!$E$20-'1. Tier Economics'!$E$21</f>
        <v>5244</v>
      </c>
      <c r="J14" s="13" t="n">
        <f aca="false">(J$7*12)+'1. Tier Economics'!$E$10-($B14*'1. Tier Economics'!$E$17)-'1. Tier Economics'!$E$19-'1. Tier Economics'!$E$20-'1. Tier Economics'!$E$21</f>
        <v>5844</v>
      </c>
    </row>
    <row r="15" customFormat="false" ht="15" hidden="false" customHeight="false" outlineLevel="0" collapsed="false">
      <c r="B15" s="36" t="n">
        <v>42</v>
      </c>
      <c r="C15" s="13" t="n">
        <f aca="false">(C$7*12)+'1. Tier Economics'!$E$10-($B15*'1. Tier Economics'!$E$17)-'1. Tier Economics'!$E$19-'1. Tier Economics'!$E$20-'1. Tier Economics'!$E$21</f>
        <v>1194</v>
      </c>
      <c r="D15" s="13" t="n">
        <f aca="false">(D$7*12)+'1. Tier Economics'!$E$10-($B15*'1. Tier Economics'!$E$17)-'1. Tier Economics'!$E$19-'1. Tier Economics'!$E$20-'1. Tier Economics'!$E$21</f>
        <v>1794</v>
      </c>
      <c r="E15" s="13" t="n">
        <f aca="false">(E$7*12)+'1. Tier Economics'!$E$10-($B15*'1. Tier Economics'!$E$17)-'1. Tier Economics'!$E$19-'1. Tier Economics'!$E$20-'1. Tier Economics'!$E$21</f>
        <v>2394</v>
      </c>
      <c r="F15" s="13" t="n">
        <f aca="false">(F$7*12)+'1. Tier Economics'!$E$10-($B15*'1. Tier Economics'!$E$17)-'1. Tier Economics'!$E$19-'1. Tier Economics'!$E$20-'1. Tier Economics'!$E$21</f>
        <v>2994</v>
      </c>
      <c r="G15" s="13" t="n">
        <f aca="false">(G$7*12)+'1. Tier Economics'!$E$10-($B15*'1. Tier Economics'!$E$17)-'1. Tier Economics'!$E$19-'1. Tier Economics'!$E$20-'1. Tier Economics'!$E$21</f>
        <v>3594</v>
      </c>
      <c r="H15" s="13" t="n">
        <f aca="false">(H$7*12)+'1. Tier Economics'!$E$10-($B15*'1. Tier Economics'!$E$17)-'1. Tier Economics'!$E$19-'1. Tier Economics'!$E$20-'1. Tier Economics'!$E$21</f>
        <v>4194</v>
      </c>
      <c r="I15" s="13" t="n">
        <f aca="false">(I$7*12)+'1. Tier Economics'!$E$10-($B15*'1. Tier Economics'!$E$17)-'1. Tier Economics'!$E$19-'1. Tier Economics'!$E$20-'1. Tier Economics'!$E$21</f>
        <v>4794</v>
      </c>
      <c r="J15" s="13" t="n">
        <f aca="false">(J$7*12)+'1. Tier Economics'!$E$10-($B15*'1. Tier Economics'!$E$17)-'1. Tier Economics'!$E$19-'1. Tier Economics'!$E$20-'1. Tier Economics'!$E$21</f>
        <v>5394</v>
      </c>
    </row>
    <row r="18" customFormat="false" ht="15" hidden="false" customHeight="false" outlineLevel="0" collapsed="false">
      <c r="B18" s="19" t="s">
        <v>175</v>
      </c>
    </row>
    <row r="20" customFormat="false" ht="15" hidden="false" customHeight="false" outlineLevel="0" collapsed="false">
      <c r="B20" s="4" t="s">
        <v>176</v>
      </c>
      <c r="C20" s="35" t="n">
        <v>200</v>
      </c>
      <c r="D20" s="35" t="n">
        <v>300</v>
      </c>
      <c r="E20" s="35" t="n">
        <v>400</v>
      </c>
      <c r="F20" s="35" t="n">
        <v>500</v>
      </c>
      <c r="G20" s="35" t="n">
        <v>600</v>
      </c>
      <c r="H20" s="35" t="n">
        <v>750</v>
      </c>
      <c r="I20" s="35" t="n">
        <v>1000</v>
      </c>
      <c r="J20" s="35" t="n">
        <v>1500</v>
      </c>
    </row>
    <row r="21" customFormat="false" ht="15" hidden="false" customHeight="false" outlineLevel="0" collapsed="false">
      <c r="B21" s="37" t="n">
        <v>0.1</v>
      </c>
      <c r="C21" s="38" t="n">
        <f aca="false">('1. Tier Economics'!$E$24/$B21)/C$20</f>
        <v>262.2</v>
      </c>
      <c r="D21" s="38" t="n">
        <f aca="false">('1. Tier Economics'!$E$24/$B21)/D$20</f>
        <v>174.8</v>
      </c>
      <c r="E21" s="38" t="n">
        <f aca="false">('1. Tier Economics'!$E$24/$B21)/E$20</f>
        <v>131.1</v>
      </c>
      <c r="F21" s="38" t="n">
        <f aca="false">('1. Tier Economics'!$E$24/$B21)/F$20</f>
        <v>104.88</v>
      </c>
      <c r="G21" s="38" t="n">
        <f aca="false">('1. Tier Economics'!$E$24/$B21)/G$20</f>
        <v>87.4</v>
      </c>
      <c r="H21" s="38" t="n">
        <f aca="false">('1. Tier Economics'!$E$24/$B21)/H$20</f>
        <v>69.92</v>
      </c>
      <c r="I21" s="38" t="n">
        <f aca="false">('1. Tier Economics'!$E$24/$B21)/I$20</f>
        <v>52.44</v>
      </c>
      <c r="J21" s="38" t="n">
        <f aca="false">('1. Tier Economics'!$E$24/$B21)/J$20</f>
        <v>34.96</v>
      </c>
    </row>
    <row r="22" customFormat="false" ht="15" hidden="false" customHeight="false" outlineLevel="0" collapsed="false">
      <c r="B22" s="37" t="n">
        <v>0.12</v>
      </c>
      <c r="C22" s="38" t="n">
        <f aca="false">('1. Tier Economics'!$E$24/$B22)/C$20</f>
        <v>218.5</v>
      </c>
      <c r="D22" s="38" t="n">
        <f aca="false">('1. Tier Economics'!$E$24/$B22)/D$20</f>
        <v>145.666666666667</v>
      </c>
      <c r="E22" s="38" t="n">
        <f aca="false">('1. Tier Economics'!$E$24/$B22)/E$20</f>
        <v>109.25</v>
      </c>
      <c r="F22" s="38" t="n">
        <f aca="false">('1. Tier Economics'!$E$24/$B22)/F$20</f>
        <v>87.4</v>
      </c>
      <c r="G22" s="38" t="n">
        <f aca="false">('1. Tier Economics'!$E$24/$B22)/G$20</f>
        <v>72.8333333333333</v>
      </c>
      <c r="H22" s="38" t="n">
        <f aca="false">('1. Tier Economics'!$E$24/$B22)/H$20</f>
        <v>58.2666666666667</v>
      </c>
      <c r="I22" s="38" t="n">
        <f aca="false">('1. Tier Economics'!$E$24/$B22)/I$20</f>
        <v>43.7</v>
      </c>
      <c r="J22" s="38" t="n">
        <f aca="false">('1. Tier Economics'!$E$24/$B22)/J$20</f>
        <v>29.1333333333333</v>
      </c>
    </row>
    <row r="23" customFormat="false" ht="15" hidden="false" customHeight="false" outlineLevel="0" collapsed="false">
      <c r="B23" s="37" t="n">
        <v>0.15</v>
      </c>
      <c r="C23" s="38" t="n">
        <f aca="false">('1. Tier Economics'!$E$24/$B23)/C$20</f>
        <v>174.8</v>
      </c>
      <c r="D23" s="38" t="n">
        <f aca="false">('1. Tier Economics'!$E$24/$B23)/D$20</f>
        <v>116.533333333333</v>
      </c>
      <c r="E23" s="38" t="n">
        <f aca="false">('1. Tier Economics'!$E$24/$B23)/E$20</f>
        <v>87.4</v>
      </c>
      <c r="F23" s="38" t="n">
        <f aca="false">('1. Tier Economics'!$E$24/$B23)/F$20</f>
        <v>69.92</v>
      </c>
      <c r="G23" s="38" t="n">
        <f aca="false">('1. Tier Economics'!$E$24/$B23)/G$20</f>
        <v>58.2666666666667</v>
      </c>
      <c r="H23" s="38" t="n">
        <f aca="false">('1. Tier Economics'!$E$24/$B23)/H$20</f>
        <v>46.6133333333333</v>
      </c>
      <c r="I23" s="38" t="n">
        <f aca="false">('1. Tier Economics'!$E$24/$B23)/I$20</f>
        <v>34.96</v>
      </c>
      <c r="J23" s="38" t="n">
        <f aca="false">('1. Tier Economics'!$E$24/$B23)/J$20</f>
        <v>23.3066666666667</v>
      </c>
    </row>
    <row r="24" customFormat="false" ht="15" hidden="false" customHeight="false" outlineLevel="0" collapsed="false">
      <c r="B24" s="37" t="n">
        <v>0.18</v>
      </c>
      <c r="C24" s="38" t="n">
        <f aca="false">('1. Tier Economics'!$E$24/$B24)/C$20</f>
        <v>145.666666666667</v>
      </c>
      <c r="D24" s="38" t="n">
        <f aca="false">('1. Tier Economics'!$E$24/$B24)/D$20</f>
        <v>97.1111111111111</v>
      </c>
      <c r="E24" s="38" t="n">
        <f aca="false">('1. Tier Economics'!$E$24/$B24)/E$20</f>
        <v>72.8333333333333</v>
      </c>
      <c r="F24" s="38" t="n">
        <f aca="false">('1. Tier Economics'!$E$24/$B24)/F$20</f>
        <v>58.2666666666667</v>
      </c>
      <c r="G24" s="38" t="n">
        <f aca="false">('1. Tier Economics'!$E$24/$B24)/G$20</f>
        <v>48.5555555555556</v>
      </c>
      <c r="H24" s="38" t="n">
        <f aca="false">('1. Tier Economics'!$E$24/$B24)/H$20</f>
        <v>38.8444444444445</v>
      </c>
      <c r="I24" s="38" t="n">
        <f aca="false">('1. Tier Economics'!$E$24/$B24)/I$20</f>
        <v>29.1333333333333</v>
      </c>
      <c r="J24" s="38" t="n">
        <f aca="false">('1. Tier Economics'!$E$24/$B24)/J$20</f>
        <v>19.4222222222222</v>
      </c>
    </row>
    <row r="25" customFormat="false" ht="15" hidden="false" customHeight="false" outlineLevel="0" collapsed="false">
      <c r="B25" s="37" t="n">
        <v>0.22</v>
      </c>
      <c r="C25" s="38" t="n">
        <f aca="false">('1. Tier Economics'!$E$24/$B25)/C$20</f>
        <v>119.181818181818</v>
      </c>
      <c r="D25" s="38" t="n">
        <f aca="false">('1. Tier Economics'!$E$24/$B25)/D$20</f>
        <v>79.4545454545455</v>
      </c>
      <c r="E25" s="38" t="n">
        <f aca="false">('1. Tier Economics'!$E$24/$B25)/E$20</f>
        <v>59.5909090909091</v>
      </c>
      <c r="F25" s="38" t="n">
        <f aca="false">('1. Tier Economics'!$E$24/$B25)/F$20</f>
        <v>47.6727272727273</v>
      </c>
      <c r="G25" s="38" t="n">
        <f aca="false">('1. Tier Economics'!$E$24/$B25)/G$20</f>
        <v>39.7272727272727</v>
      </c>
      <c r="H25" s="38" t="n">
        <f aca="false">('1. Tier Economics'!$E$24/$B25)/H$20</f>
        <v>31.7818181818182</v>
      </c>
      <c r="I25" s="38" t="n">
        <f aca="false">('1. Tier Economics'!$E$24/$B25)/I$20</f>
        <v>23.8363636363636</v>
      </c>
      <c r="J25" s="38" t="n">
        <f aca="false">('1. Tier Economics'!$E$24/$B25)/J$20</f>
        <v>15.8909090909091</v>
      </c>
    </row>
    <row r="26" customFormat="false" ht="15" hidden="false" customHeight="false" outlineLevel="0" collapsed="false">
      <c r="B26" s="37" t="n">
        <v>0.25</v>
      </c>
      <c r="C26" s="38" t="n">
        <f aca="false">('1. Tier Economics'!$E$24/$B26)/C$20</f>
        <v>104.88</v>
      </c>
      <c r="D26" s="38" t="n">
        <f aca="false">('1. Tier Economics'!$E$24/$B26)/D$20</f>
        <v>69.92</v>
      </c>
      <c r="E26" s="38" t="n">
        <f aca="false">('1. Tier Economics'!$E$24/$B26)/E$20</f>
        <v>52.44</v>
      </c>
      <c r="F26" s="38" t="n">
        <f aca="false">('1. Tier Economics'!$E$24/$B26)/F$20</f>
        <v>41.952</v>
      </c>
      <c r="G26" s="38" t="n">
        <f aca="false">('1. Tier Economics'!$E$24/$B26)/G$20</f>
        <v>34.96</v>
      </c>
      <c r="H26" s="38" t="n">
        <f aca="false">('1. Tier Economics'!$E$24/$B26)/H$20</f>
        <v>27.968</v>
      </c>
      <c r="I26" s="38" t="n">
        <f aca="false">('1. Tier Economics'!$E$24/$B26)/I$20</f>
        <v>20.976</v>
      </c>
      <c r="J26" s="38" t="n">
        <f aca="false">('1. Tier Economics'!$E$24/$B26)/J$20</f>
        <v>13.984</v>
      </c>
    </row>
    <row r="27" customFormat="false" ht="15" hidden="false" customHeight="false" outlineLevel="0" collapsed="false">
      <c r="B27" s="37" t="n">
        <v>0.3</v>
      </c>
      <c r="C27" s="38" t="n">
        <f aca="false">('1. Tier Economics'!$E$24/$B27)/C$20</f>
        <v>87.4</v>
      </c>
      <c r="D27" s="38" t="n">
        <f aca="false">('1. Tier Economics'!$E$24/$B27)/D$20</f>
        <v>58.2666666666667</v>
      </c>
      <c r="E27" s="38" t="n">
        <f aca="false">('1. Tier Economics'!$E$24/$B27)/E$20</f>
        <v>43.7</v>
      </c>
      <c r="F27" s="38" t="n">
        <f aca="false">('1. Tier Economics'!$E$24/$B27)/F$20</f>
        <v>34.96</v>
      </c>
      <c r="G27" s="38" t="n">
        <f aca="false">('1. Tier Economics'!$E$24/$B27)/G$20</f>
        <v>29.1333333333333</v>
      </c>
      <c r="H27" s="38" t="n">
        <f aca="false">('1. Tier Economics'!$E$24/$B27)/H$20</f>
        <v>23.3066666666667</v>
      </c>
      <c r="I27" s="38" t="n">
        <f aca="false">('1. Tier Economics'!$E$24/$B27)/I$20</f>
        <v>17.48</v>
      </c>
      <c r="J27" s="38" t="n">
        <f aca="false">('1. Tier Economics'!$E$24/$B27)/J$20</f>
        <v>11.6533333333333</v>
      </c>
    </row>
    <row r="30" customFormat="false" ht="15" hidden="false" customHeight="false" outlineLevel="0" collapsed="false">
      <c r="B30" s="19" t="s">
        <v>177</v>
      </c>
    </row>
    <row r="31" customFormat="false" ht="15" hidden="false" customHeight="false" outlineLevel="0" collapsed="false">
      <c r="B31" s="22" t="s">
        <v>178</v>
      </c>
    </row>
    <row r="32" customFormat="false" ht="15" hidden="false" customHeight="false" outlineLevel="0" collapsed="false">
      <c r="B32" s="22" t="s">
        <v>179</v>
      </c>
    </row>
  </sheetData>
  <conditionalFormatting sqref="C8:J15">
    <cfRule type="colorScale" priority="2">
      <colorScale>
        <cfvo type="num" val="-1000"/>
        <cfvo type="num" val="2000"/>
        <cfvo type="num" val="5000"/>
        <color rgb="FFF8D7DA"/>
        <color rgb="FFFFFFFF"/>
        <color rgb="FFD4EDDA"/>
      </colorScale>
    </cfRule>
  </conditionalFormatting>
  <conditionalFormatting sqref="C21:J27">
    <cfRule type="colorScale" priority="3">
      <colorScale>
        <cfvo type="num" val="0"/>
        <cfvo type="num" val="3"/>
        <cfvo type="num" val="10"/>
        <color rgb="FFF8D7DA"/>
        <color rgb="FFFFFFFF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8" min="3" style="0" width="11"/>
  </cols>
  <sheetData>
    <row r="2" customFormat="false" ht="22.05" hidden="false" customHeight="false" outlineLevel="0" collapsed="false">
      <c r="B2" s="17" t="s">
        <v>180</v>
      </c>
    </row>
    <row r="3" customFormat="false" ht="15" hidden="false" customHeight="false" outlineLevel="0" collapsed="false">
      <c r="B3" s="2" t="s">
        <v>181</v>
      </c>
    </row>
    <row r="5" customFormat="false" ht="24" hidden="false" customHeight="true" outlineLevel="0" collapsed="false">
      <c r="B5" s="4" t="s">
        <v>182</v>
      </c>
      <c r="C5" s="4" t="s">
        <v>183</v>
      </c>
      <c r="D5" s="4" t="s">
        <v>184</v>
      </c>
      <c r="E5" s="4" t="s">
        <v>185</v>
      </c>
      <c r="F5" s="4" t="s">
        <v>186</v>
      </c>
      <c r="G5" s="4" t="s">
        <v>187</v>
      </c>
      <c r="H5" s="4" t="s">
        <v>188</v>
      </c>
      <c r="I5" s="4" t="s">
        <v>189</v>
      </c>
      <c r="J5" s="4" t="s">
        <v>190</v>
      </c>
      <c r="K5" s="4" t="s">
        <v>191</v>
      </c>
      <c r="L5" s="4" t="s">
        <v>192</v>
      </c>
      <c r="M5" s="4" t="s">
        <v>193</v>
      </c>
      <c r="N5" s="4" t="s">
        <v>194</v>
      </c>
      <c r="O5" s="4" t="s">
        <v>195</v>
      </c>
      <c r="P5" s="4" t="s">
        <v>196</v>
      </c>
      <c r="Q5" s="4" t="s">
        <v>197</v>
      </c>
      <c r="R5" s="4" t="s">
        <v>198</v>
      </c>
      <c r="S5" s="4" t="s">
        <v>199</v>
      </c>
      <c r="T5" s="4" t="s">
        <v>200</v>
      </c>
      <c r="U5" s="4" t="s">
        <v>201</v>
      </c>
      <c r="V5" s="4" t="s">
        <v>202</v>
      </c>
      <c r="W5" s="4" t="s">
        <v>203</v>
      </c>
      <c r="X5" s="4" t="s">
        <v>204</v>
      </c>
      <c r="Y5" s="4" t="s">
        <v>205</v>
      </c>
      <c r="Z5" s="4" t="s">
        <v>206</v>
      </c>
      <c r="AA5" s="4" t="s">
        <v>207</v>
      </c>
      <c r="AB5" s="4" t="s">
        <v>208</v>
      </c>
      <c r="AC5" s="4" t="s">
        <v>209</v>
      </c>
      <c r="AD5" s="4" t="s">
        <v>210</v>
      </c>
      <c r="AE5" s="4" t="s">
        <v>211</v>
      </c>
      <c r="AF5" s="4" t="s">
        <v>212</v>
      </c>
      <c r="AG5" s="4" t="s">
        <v>213</v>
      </c>
      <c r="AH5" s="4" t="s">
        <v>214</v>
      </c>
      <c r="AI5" s="4" t="s">
        <v>215</v>
      </c>
      <c r="AJ5" s="4" t="s">
        <v>216</v>
      </c>
      <c r="AK5" s="4" t="s">
        <v>217</v>
      </c>
      <c r="AL5" s="4" t="s">
        <v>218</v>
      </c>
    </row>
    <row r="7" customFormat="false" ht="15" hidden="false" customHeight="false" outlineLevel="0" collapsed="false">
      <c r="B7" s="19" t="s">
        <v>219</v>
      </c>
      <c r="C7" s="18" t="n">
        <v>2</v>
      </c>
      <c r="D7" s="18" t="n">
        <v>3</v>
      </c>
      <c r="E7" s="18" t="n">
        <v>3</v>
      </c>
      <c r="F7" s="18" t="n">
        <v>4</v>
      </c>
      <c r="G7" s="18" t="n">
        <v>4</v>
      </c>
      <c r="H7" s="18" t="n">
        <v>5</v>
      </c>
      <c r="I7" s="18" t="n">
        <v>5</v>
      </c>
      <c r="J7" s="18" t="n">
        <v>5</v>
      </c>
      <c r="K7" s="18" t="n">
        <v>6</v>
      </c>
      <c r="L7" s="18" t="n">
        <v>6</v>
      </c>
      <c r="M7" s="18" t="n">
        <v>6</v>
      </c>
      <c r="N7" s="18" t="n">
        <v>6</v>
      </c>
      <c r="O7" s="18" t="n">
        <v>6</v>
      </c>
      <c r="P7" s="18" t="n">
        <v>6</v>
      </c>
      <c r="Q7" s="18" t="n">
        <v>7</v>
      </c>
      <c r="R7" s="18" t="n">
        <v>7</v>
      </c>
      <c r="S7" s="18" t="n">
        <v>7</v>
      </c>
      <c r="T7" s="18" t="n">
        <v>7</v>
      </c>
      <c r="U7" s="18" t="n">
        <v>8</v>
      </c>
      <c r="V7" s="18" t="n">
        <v>8</v>
      </c>
      <c r="W7" s="18" t="n">
        <v>8</v>
      </c>
      <c r="X7" s="18" t="n">
        <v>8</v>
      </c>
      <c r="Y7" s="18" t="n">
        <v>8</v>
      </c>
      <c r="Z7" s="18" t="n">
        <v>8</v>
      </c>
      <c r="AA7" s="18" t="n">
        <v>8</v>
      </c>
      <c r="AB7" s="18" t="n">
        <v>8</v>
      </c>
      <c r="AC7" s="18" t="n">
        <v>8</v>
      </c>
      <c r="AD7" s="18" t="n">
        <v>9</v>
      </c>
      <c r="AE7" s="18" t="n">
        <v>9</v>
      </c>
      <c r="AF7" s="18" t="n">
        <v>9</v>
      </c>
      <c r="AG7" s="18" t="n">
        <v>9</v>
      </c>
      <c r="AH7" s="18" t="n">
        <v>9</v>
      </c>
      <c r="AI7" s="18" t="n">
        <v>9</v>
      </c>
      <c r="AJ7" s="18" t="n">
        <v>10</v>
      </c>
      <c r="AK7" s="18" t="n">
        <v>10</v>
      </c>
      <c r="AL7" s="18" t="n">
        <v>10</v>
      </c>
    </row>
    <row r="8" customFormat="false" ht="15" hidden="false" customHeight="false" outlineLevel="0" collapsed="false">
      <c r="B8" s="0" t="s">
        <v>220</v>
      </c>
      <c r="C8" s="12" t="n">
        <v>0</v>
      </c>
      <c r="D8" s="12" t="n">
        <f aca="false">ROUND(C10*('6. Assumptions'!$C$20/12),1)</f>
        <v>0</v>
      </c>
      <c r="E8" s="12" t="n">
        <f aca="false">ROUND(D10*('6. Assumptions'!$C$20/12),1)</f>
        <v>0.1</v>
      </c>
      <c r="F8" s="12" t="n">
        <f aca="false">ROUND(E10*('6. Assumptions'!$C$20/12),1)</f>
        <v>0.1</v>
      </c>
      <c r="G8" s="12" t="n">
        <f aca="false">ROUND(F10*('6. Assumptions'!$C$20/12),1)</f>
        <v>0.2</v>
      </c>
      <c r="H8" s="12" t="n">
        <f aca="false">ROUND(G10*('6. Assumptions'!$C$20/12),1)</f>
        <v>0.2</v>
      </c>
      <c r="I8" s="12" t="n">
        <f aca="false">ROUND(H10*('6. Assumptions'!$C$20/12),1)</f>
        <v>0.3</v>
      </c>
      <c r="J8" s="12" t="n">
        <f aca="false">ROUND(I10*('6. Assumptions'!$C$20/12),1)</f>
        <v>0.4</v>
      </c>
      <c r="K8" s="12" t="n">
        <f aca="false">ROUND(J10*('6. Assumptions'!$C$20/12),1)</f>
        <v>0.4</v>
      </c>
      <c r="L8" s="12" t="n">
        <f aca="false">ROUND(K10*('6. Assumptions'!$C$20/12),1)</f>
        <v>0.5</v>
      </c>
      <c r="M8" s="12" t="n">
        <f aca="false">ROUND(L10*('6. Assumptions'!$C$20/12),1)</f>
        <v>0.6</v>
      </c>
      <c r="N8" s="12" t="n">
        <f aca="false">ROUND(M10*('6. Assumptions'!$C$20/12),1)</f>
        <v>0.7</v>
      </c>
      <c r="O8" s="12" t="n">
        <f aca="false">ROUND(N10*('6. Assumptions'!$C$20/12),1)</f>
        <v>0.8</v>
      </c>
      <c r="P8" s="12" t="n">
        <f aca="false">ROUND(O10*('6. Assumptions'!$C$20/12),1)</f>
        <v>0.9</v>
      </c>
      <c r="Q8" s="12" t="n">
        <f aca="false">ROUND(P10*('6. Assumptions'!$C$20/12),1)</f>
        <v>0.9</v>
      </c>
      <c r="R8" s="12" t="n">
        <f aca="false">ROUND(Q10*('6. Assumptions'!$C$20/12),1)</f>
        <v>1</v>
      </c>
      <c r="S8" s="12" t="n">
        <f aca="false">ROUND(R10*('6. Assumptions'!$C$20/12),1)</f>
        <v>1.1</v>
      </c>
      <c r="T8" s="12" t="n">
        <f aca="false">ROUND(S10*('6. Assumptions'!$C$20/12),1)</f>
        <v>1.2</v>
      </c>
      <c r="U8" s="12" t="n">
        <f aca="false">ROUND(T10*('6. Assumptions'!$C$20/12),1)</f>
        <v>1.3</v>
      </c>
      <c r="V8" s="12" t="n">
        <f aca="false">ROUND(U10*('6. Assumptions'!$C$20/12),1)</f>
        <v>1.4</v>
      </c>
      <c r="W8" s="12" t="n">
        <f aca="false">ROUND(V10*('6. Assumptions'!$C$20/12),1)</f>
        <v>1.5</v>
      </c>
      <c r="X8" s="12" t="n">
        <f aca="false">ROUND(W10*('6. Assumptions'!$C$20/12),1)</f>
        <v>1.6</v>
      </c>
      <c r="Y8" s="12" t="n">
        <f aca="false">ROUND(X10*('6. Assumptions'!$C$20/12),1)</f>
        <v>1.7</v>
      </c>
      <c r="Z8" s="12" t="n">
        <f aca="false">ROUND(Y10*('6. Assumptions'!$C$20/12),1)</f>
        <v>1.8</v>
      </c>
      <c r="AA8" s="12" t="n">
        <f aca="false">ROUND(Z10*('6. Assumptions'!$C$20/12),1)</f>
        <v>1.9</v>
      </c>
      <c r="AB8" s="12" t="n">
        <f aca="false">ROUND(AA10*('6. Assumptions'!$C$20/12),1)</f>
        <v>2</v>
      </c>
      <c r="AC8" s="12" t="n">
        <f aca="false">ROUND(AB10*('6. Assumptions'!$C$20/12),1)</f>
        <v>2</v>
      </c>
      <c r="AD8" s="12" t="n">
        <f aca="false">ROUND(AC10*('6. Assumptions'!$C$20/12),1)</f>
        <v>2.1</v>
      </c>
      <c r="AE8" s="12" t="n">
        <f aca="false">ROUND(AD10*('6. Assumptions'!$C$20/12),1)</f>
        <v>2.2</v>
      </c>
      <c r="AF8" s="12" t="n">
        <f aca="false">ROUND(AE10*('6. Assumptions'!$C$20/12),1)</f>
        <v>2.3</v>
      </c>
      <c r="AG8" s="12" t="n">
        <f aca="false">ROUND(AF10*('6. Assumptions'!$C$20/12),1)</f>
        <v>2.4</v>
      </c>
      <c r="AH8" s="12" t="n">
        <f aca="false">ROUND(AG10*('6. Assumptions'!$C$20/12),1)</f>
        <v>2.5</v>
      </c>
      <c r="AI8" s="12" t="n">
        <f aca="false">ROUND(AH10*('6. Assumptions'!$C$20/12),1)</f>
        <v>2.6</v>
      </c>
      <c r="AJ8" s="12" t="n">
        <f aca="false">ROUND(AI10*('6. Assumptions'!$C$20/12),1)</f>
        <v>2.7</v>
      </c>
      <c r="AK8" s="12" t="n">
        <f aca="false">ROUND(AJ10*('6. Assumptions'!$C$20/12),1)</f>
        <v>2.8</v>
      </c>
      <c r="AL8" s="12" t="n">
        <f aca="false">ROUND(AK10*('6. Assumptions'!$C$20/12),1)</f>
        <v>3</v>
      </c>
    </row>
    <row r="10" customFormat="false" ht="15" hidden="false" customHeight="false" outlineLevel="0" collapsed="false">
      <c r="B10" s="19" t="s">
        <v>221</v>
      </c>
      <c r="C10" s="39" t="n">
        <f aca="false">C7-C8</f>
        <v>2</v>
      </c>
      <c r="D10" s="39" t="n">
        <f aca="false">C10+D7-D8</f>
        <v>5</v>
      </c>
      <c r="E10" s="39" t="n">
        <f aca="false">D10+E7-E8</f>
        <v>7.9</v>
      </c>
      <c r="F10" s="39" t="n">
        <f aca="false">E10+F7-F8</f>
        <v>11.8</v>
      </c>
      <c r="G10" s="39" t="n">
        <f aca="false">F10+G7-G8</f>
        <v>15.6</v>
      </c>
      <c r="H10" s="39" t="n">
        <f aca="false">G10+H7-H8</f>
        <v>20.4</v>
      </c>
      <c r="I10" s="39" t="n">
        <f aca="false">H10+I7-I8</f>
        <v>25.1</v>
      </c>
      <c r="J10" s="39" t="n">
        <f aca="false">I10+J7-J8</f>
        <v>29.7</v>
      </c>
      <c r="K10" s="39" t="n">
        <f aca="false">J10+K7-K8</f>
        <v>35.3</v>
      </c>
      <c r="L10" s="39" t="n">
        <f aca="false">K10+L7-L8</f>
        <v>40.8</v>
      </c>
      <c r="M10" s="39" t="n">
        <f aca="false">L10+M7-M8</f>
        <v>46.2</v>
      </c>
      <c r="N10" s="39" t="n">
        <f aca="false">M10+N7-N8</f>
        <v>51.5</v>
      </c>
      <c r="O10" s="39" t="n">
        <f aca="false">N10+O7-O8</f>
        <v>56.7</v>
      </c>
      <c r="P10" s="39" t="n">
        <f aca="false">O10+P7-P8</f>
        <v>61.8</v>
      </c>
      <c r="Q10" s="39" t="n">
        <f aca="false">P10+Q7-Q8</f>
        <v>67.9</v>
      </c>
      <c r="R10" s="39" t="n">
        <f aca="false">Q10+R7-R8</f>
        <v>73.9</v>
      </c>
      <c r="S10" s="39" t="n">
        <f aca="false">R10+S7-S8</f>
        <v>79.8</v>
      </c>
      <c r="T10" s="39" t="n">
        <f aca="false">S10+T7-T8</f>
        <v>85.6</v>
      </c>
      <c r="U10" s="39" t="n">
        <f aca="false">T10+U7-U8</f>
        <v>92.3</v>
      </c>
      <c r="V10" s="39" t="n">
        <f aca="false">U10+V7-V8</f>
        <v>98.9</v>
      </c>
      <c r="W10" s="39" t="n">
        <f aca="false">V10+W7-W8</f>
        <v>105.4</v>
      </c>
      <c r="X10" s="39" t="n">
        <f aca="false">W10+X7-X8</f>
        <v>111.8</v>
      </c>
      <c r="Y10" s="39" t="n">
        <f aca="false">X10+Y7-Y8</f>
        <v>118.1</v>
      </c>
      <c r="Z10" s="39" t="n">
        <f aca="false">Y10+Z7-Z8</f>
        <v>124.3</v>
      </c>
      <c r="AA10" s="39" t="n">
        <f aca="false">Z10+AA7-AA8</f>
        <v>130.4</v>
      </c>
      <c r="AB10" s="39" t="n">
        <f aca="false">AA10+AB7-AB8</f>
        <v>136.4</v>
      </c>
      <c r="AC10" s="39" t="n">
        <f aca="false">AB10+AC7-AC8</f>
        <v>142.4</v>
      </c>
      <c r="AD10" s="39" t="n">
        <f aca="false">AC10+AD7-AD8</f>
        <v>149.3</v>
      </c>
      <c r="AE10" s="39" t="n">
        <f aca="false">AD10+AE7-AE8</f>
        <v>156.1</v>
      </c>
      <c r="AF10" s="39" t="n">
        <f aca="false">AE10+AF7-AF8</f>
        <v>162.8</v>
      </c>
      <c r="AG10" s="39" t="n">
        <f aca="false">AF10+AG7-AG8</f>
        <v>169.4</v>
      </c>
      <c r="AH10" s="39" t="n">
        <f aca="false">AG10+AH7-AH8</f>
        <v>175.9</v>
      </c>
      <c r="AI10" s="39" t="n">
        <f aca="false">AH10+AI7-AI8</f>
        <v>182.3</v>
      </c>
      <c r="AJ10" s="39" t="n">
        <f aca="false">AI10+AJ7-AJ8</f>
        <v>189.6</v>
      </c>
      <c r="AK10" s="39" t="n">
        <f aca="false">AJ10+AK7-AK8</f>
        <v>196.8</v>
      </c>
      <c r="AL10" s="39" t="n">
        <f aca="false">AK10+AL7-AL8</f>
        <v>203.8</v>
      </c>
    </row>
    <row r="12" customFormat="false" ht="15" hidden="false" customHeight="false" outlineLevel="0" collapsed="false">
      <c r="B12" s="0" t="s">
        <v>222</v>
      </c>
      <c r="C12" s="21" t="n">
        <v>362</v>
      </c>
      <c r="D12" s="21" t="n">
        <v>362</v>
      </c>
      <c r="E12" s="21" t="n">
        <v>362</v>
      </c>
      <c r="F12" s="21" t="n">
        <v>362</v>
      </c>
      <c r="G12" s="21" t="n">
        <v>362</v>
      </c>
      <c r="H12" s="21" t="n">
        <v>362</v>
      </c>
      <c r="I12" s="21" t="n">
        <v>362</v>
      </c>
      <c r="J12" s="21" t="n">
        <v>362</v>
      </c>
      <c r="K12" s="21" t="n">
        <v>362</v>
      </c>
      <c r="L12" s="21" t="n">
        <v>362</v>
      </c>
      <c r="M12" s="21" t="n">
        <v>362</v>
      </c>
      <c r="N12" s="21" t="n">
        <v>362</v>
      </c>
      <c r="O12" s="21" t="n">
        <v>362</v>
      </c>
      <c r="P12" s="21" t="n">
        <v>362</v>
      </c>
      <c r="Q12" s="21" t="n">
        <v>362</v>
      </c>
      <c r="R12" s="21" t="n">
        <v>362</v>
      </c>
      <c r="S12" s="21" t="n">
        <v>362</v>
      </c>
      <c r="T12" s="21" t="n">
        <v>362</v>
      </c>
      <c r="U12" s="21" t="n">
        <v>362</v>
      </c>
      <c r="V12" s="21" t="n">
        <v>362</v>
      </c>
      <c r="W12" s="21" t="n">
        <v>362</v>
      </c>
      <c r="X12" s="21" t="n">
        <v>362</v>
      </c>
      <c r="Y12" s="21" t="n">
        <v>362</v>
      </c>
      <c r="Z12" s="21" t="n">
        <v>362</v>
      </c>
      <c r="AA12" s="21" t="n">
        <v>362</v>
      </c>
      <c r="AB12" s="21" t="n">
        <v>362</v>
      </c>
      <c r="AC12" s="21" t="n">
        <v>362</v>
      </c>
      <c r="AD12" s="21" t="n">
        <v>362</v>
      </c>
      <c r="AE12" s="21" t="n">
        <v>362</v>
      </c>
      <c r="AF12" s="21" t="n">
        <v>362</v>
      </c>
      <c r="AG12" s="21" t="n">
        <v>362</v>
      </c>
      <c r="AH12" s="21" t="n">
        <v>362</v>
      </c>
      <c r="AI12" s="21" t="n">
        <v>362</v>
      </c>
      <c r="AJ12" s="21" t="n">
        <v>362</v>
      </c>
      <c r="AK12" s="21" t="n">
        <v>362</v>
      </c>
      <c r="AL12" s="21" t="n">
        <v>362</v>
      </c>
    </row>
    <row r="13" customFormat="false" ht="15" hidden="false" customHeight="false" outlineLevel="0" collapsed="false">
      <c r="B13" s="0" t="s">
        <v>223</v>
      </c>
      <c r="C13" s="13" t="n">
        <f aca="false">C10*C12</f>
        <v>724</v>
      </c>
      <c r="D13" s="13" t="n">
        <f aca="false">D10*D12</f>
        <v>1810</v>
      </c>
      <c r="E13" s="13" t="n">
        <f aca="false">E10*E12</f>
        <v>2859.8</v>
      </c>
      <c r="F13" s="13" t="n">
        <f aca="false">F10*F12</f>
        <v>4271.6</v>
      </c>
      <c r="G13" s="13" t="n">
        <f aca="false">G10*G12</f>
        <v>5647.2</v>
      </c>
      <c r="H13" s="13" t="n">
        <f aca="false">H10*H12</f>
        <v>7384.8</v>
      </c>
      <c r="I13" s="13" t="n">
        <f aca="false">I10*I12</f>
        <v>9086.2</v>
      </c>
      <c r="J13" s="13" t="n">
        <f aca="false">J10*J12</f>
        <v>10751.4</v>
      </c>
      <c r="K13" s="13" t="n">
        <f aca="false">K10*K12</f>
        <v>12778.6</v>
      </c>
      <c r="L13" s="13" t="n">
        <f aca="false">L10*L12</f>
        <v>14769.6</v>
      </c>
      <c r="M13" s="13" t="n">
        <f aca="false">M10*M12</f>
        <v>16724.4</v>
      </c>
      <c r="N13" s="13" t="n">
        <f aca="false">N10*N12</f>
        <v>18643</v>
      </c>
      <c r="O13" s="13" t="n">
        <f aca="false">O10*O12</f>
        <v>20525.4</v>
      </c>
      <c r="P13" s="13" t="n">
        <f aca="false">P10*P12</f>
        <v>22371.6</v>
      </c>
      <c r="Q13" s="13" t="n">
        <f aca="false">Q10*Q12</f>
        <v>24579.8</v>
      </c>
      <c r="R13" s="13" t="n">
        <f aca="false">R10*R12</f>
        <v>26751.8</v>
      </c>
      <c r="S13" s="13" t="n">
        <f aca="false">S10*S12</f>
        <v>28887.6</v>
      </c>
      <c r="T13" s="13" t="n">
        <f aca="false">T10*T12</f>
        <v>30987.2</v>
      </c>
      <c r="U13" s="13" t="n">
        <f aca="false">U10*U12</f>
        <v>33412.6</v>
      </c>
      <c r="V13" s="13" t="n">
        <f aca="false">V10*V12</f>
        <v>35801.8</v>
      </c>
      <c r="W13" s="13" t="n">
        <f aca="false">W10*W12</f>
        <v>38154.8</v>
      </c>
      <c r="X13" s="13" t="n">
        <f aca="false">X10*X12</f>
        <v>40471.6</v>
      </c>
      <c r="Y13" s="13" t="n">
        <f aca="false">Y10*Y12</f>
        <v>42752.2</v>
      </c>
      <c r="Z13" s="13" t="n">
        <f aca="false">Z10*Z12</f>
        <v>44996.6</v>
      </c>
      <c r="AA13" s="13" t="n">
        <f aca="false">AA10*AA12</f>
        <v>47204.8</v>
      </c>
      <c r="AB13" s="13" t="n">
        <f aca="false">AB10*AB12</f>
        <v>49376.8</v>
      </c>
      <c r="AC13" s="13" t="n">
        <f aca="false">AC10*AC12</f>
        <v>51548.8</v>
      </c>
      <c r="AD13" s="13" t="n">
        <f aca="false">AD10*AD12</f>
        <v>54046.6</v>
      </c>
      <c r="AE13" s="13" t="n">
        <f aca="false">AE10*AE12</f>
        <v>56508.2</v>
      </c>
      <c r="AF13" s="13" t="n">
        <f aca="false">AF10*AF12</f>
        <v>58933.6</v>
      </c>
      <c r="AG13" s="13" t="n">
        <f aca="false">AG10*AG12</f>
        <v>61322.8</v>
      </c>
      <c r="AH13" s="13" t="n">
        <f aca="false">AH10*AH12</f>
        <v>63675.8</v>
      </c>
      <c r="AI13" s="13" t="n">
        <f aca="false">AI10*AI12</f>
        <v>65992.6</v>
      </c>
      <c r="AJ13" s="13" t="n">
        <f aca="false">AJ10*AJ12</f>
        <v>68635.2</v>
      </c>
      <c r="AK13" s="13" t="n">
        <f aca="false">AK10*AK12</f>
        <v>71241.6</v>
      </c>
      <c r="AL13" s="13" t="n">
        <f aca="false">AL10*AL12</f>
        <v>73775.6</v>
      </c>
    </row>
    <row r="14" customFormat="false" ht="15" hidden="false" customHeight="false" outlineLevel="0" collapsed="false">
      <c r="B14" s="0" t="s">
        <v>224</v>
      </c>
      <c r="C14" s="23" t="n">
        <v>1</v>
      </c>
      <c r="D14" s="23" t="n">
        <v>1</v>
      </c>
      <c r="E14" s="23" t="n">
        <v>1</v>
      </c>
      <c r="F14" s="23" t="n">
        <v>1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  <c r="N14" s="23" t="n">
        <v>1</v>
      </c>
      <c r="O14" s="23" t="n">
        <v>1</v>
      </c>
      <c r="P14" s="23" t="n">
        <v>1</v>
      </c>
      <c r="Q14" s="23" t="n">
        <v>1</v>
      </c>
      <c r="R14" s="23" t="n">
        <v>1</v>
      </c>
      <c r="S14" s="23" t="n">
        <v>1</v>
      </c>
      <c r="T14" s="23" t="n">
        <v>1</v>
      </c>
      <c r="U14" s="23" t="n">
        <v>1</v>
      </c>
      <c r="V14" s="23" t="n">
        <v>1</v>
      </c>
      <c r="W14" s="23" t="n">
        <v>1</v>
      </c>
      <c r="X14" s="23" t="n">
        <v>1</v>
      </c>
      <c r="Y14" s="23" t="n">
        <v>1</v>
      </c>
      <c r="Z14" s="23" t="n">
        <v>1</v>
      </c>
      <c r="AA14" s="23" t="n">
        <v>1</v>
      </c>
      <c r="AB14" s="23" t="n">
        <v>1</v>
      </c>
      <c r="AC14" s="23" t="n">
        <v>1</v>
      </c>
      <c r="AD14" s="23" t="n">
        <v>1</v>
      </c>
      <c r="AE14" s="23" t="n">
        <v>1</v>
      </c>
      <c r="AF14" s="23" t="n">
        <v>1</v>
      </c>
      <c r="AG14" s="23" t="n">
        <v>1</v>
      </c>
      <c r="AH14" s="23" t="n">
        <v>1</v>
      </c>
      <c r="AI14" s="23" t="n">
        <v>1</v>
      </c>
      <c r="AJ14" s="23" t="n">
        <v>1</v>
      </c>
      <c r="AK14" s="23" t="n">
        <v>1</v>
      </c>
      <c r="AL14" s="23" t="n">
        <v>1</v>
      </c>
    </row>
    <row r="15" customFormat="false" ht="15" hidden="false" customHeight="false" outlineLevel="0" collapsed="false">
      <c r="B15" s="0" t="s">
        <v>225</v>
      </c>
      <c r="C15" s="13" t="n">
        <f aca="false">(C14*'1. Tier Economics'!$C$17)+'6. Assumptions'!$C$16+'6. Assumptions'!$C$17</f>
        <v>88</v>
      </c>
      <c r="D15" s="13" t="n">
        <f aca="false">(D14*'1. Tier Economics'!$C$17)+'6. Assumptions'!$C$16+'6. Assumptions'!$C$17</f>
        <v>88</v>
      </c>
      <c r="E15" s="13" t="n">
        <f aca="false">(E14*'1. Tier Economics'!$C$17)+'6. Assumptions'!$C$16+'6. Assumptions'!$C$17</f>
        <v>88</v>
      </c>
      <c r="F15" s="13" t="n">
        <f aca="false">(F14*'1. Tier Economics'!$C$17)+'6. Assumptions'!$C$16+'6. Assumptions'!$C$17</f>
        <v>88</v>
      </c>
      <c r="G15" s="13" t="n">
        <f aca="false">(G14*'1. Tier Economics'!$C$17)+'6. Assumptions'!$C$16+'6. Assumptions'!$C$17</f>
        <v>88</v>
      </c>
      <c r="H15" s="13" t="n">
        <f aca="false">(H14*'1. Tier Economics'!$C$17)+'6. Assumptions'!$C$16+'6. Assumptions'!$C$17</f>
        <v>88</v>
      </c>
      <c r="I15" s="13" t="n">
        <f aca="false">(I14*'1. Tier Economics'!$C$17)+'6. Assumptions'!$C$16+'6. Assumptions'!$C$17</f>
        <v>88</v>
      </c>
      <c r="J15" s="13" t="n">
        <f aca="false">(J14*'1. Tier Economics'!$C$17)+'6. Assumptions'!$C$16+'6. Assumptions'!$C$17</f>
        <v>88</v>
      </c>
      <c r="K15" s="13" t="n">
        <f aca="false">(K14*'1. Tier Economics'!$C$17)+'6. Assumptions'!$C$16+'6. Assumptions'!$C$17</f>
        <v>88</v>
      </c>
      <c r="L15" s="13" t="n">
        <f aca="false">(L14*'1. Tier Economics'!$C$17)+'6. Assumptions'!$C$16+'6. Assumptions'!$C$17</f>
        <v>88</v>
      </c>
      <c r="M15" s="13" t="n">
        <f aca="false">(M14*'1. Tier Economics'!$C$17)+'6. Assumptions'!$C$16+'6. Assumptions'!$C$17</f>
        <v>88</v>
      </c>
      <c r="N15" s="13" t="n">
        <f aca="false">(N14*'1. Tier Economics'!$C$17)+'6. Assumptions'!$C$16+'6. Assumptions'!$C$17</f>
        <v>88</v>
      </c>
      <c r="O15" s="13" t="n">
        <f aca="false">(O14*'1. Tier Economics'!$C$17)+'6. Assumptions'!$C$16+'6. Assumptions'!$C$17</f>
        <v>88</v>
      </c>
      <c r="P15" s="13" t="n">
        <f aca="false">(P14*'1. Tier Economics'!$C$17)+'6. Assumptions'!$C$16+'6. Assumptions'!$C$17</f>
        <v>88</v>
      </c>
      <c r="Q15" s="13" t="n">
        <f aca="false">(Q14*'1. Tier Economics'!$C$17)+'6. Assumptions'!$C$16+'6. Assumptions'!$C$17</f>
        <v>88</v>
      </c>
      <c r="R15" s="13" t="n">
        <f aca="false">(R14*'1. Tier Economics'!$C$17)+'6. Assumptions'!$C$16+'6. Assumptions'!$C$17</f>
        <v>88</v>
      </c>
      <c r="S15" s="13" t="n">
        <f aca="false">(S14*'1. Tier Economics'!$C$17)+'6. Assumptions'!$C$16+'6. Assumptions'!$C$17</f>
        <v>88</v>
      </c>
      <c r="T15" s="13" t="n">
        <f aca="false">(T14*'1. Tier Economics'!$C$17)+'6. Assumptions'!$C$16+'6. Assumptions'!$C$17</f>
        <v>88</v>
      </c>
      <c r="U15" s="13" t="n">
        <f aca="false">(U14*'1. Tier Economics'!$C$17)+'6. Assumptions'!$C$16+'6. Assumptions'!$C$17</f>
        <v>88</v>
      </c>
      <c r="V15" s="13" t="n">
        <f aca="false">(V14*'1. Tier Economics'!$C$17)+'6. Assumptions'!$C$16+'6. Assumptions'!$C$17</f>
        <v>88</v>
      </c>
      <c r="W15" s="13" t="n">
        <f aca="false">(W14*'1. Tier Economics'!$C$17)+'6. Assumptions'!$C$16+'6. Assumptions'!$C$17</f>
        <v>88</v>
      </c>
      <c r="X15" s="13" t="n">
        <f aca="false">(X14*'1. Tier Economics'!$C$17)+'6. Assumptions'!$C$16+'6. Assumptions'!$C$17</f>
        <v>88</v>
      </c>
      <c r="Y15" s="13" t="n">
        <f aca="false">(Y14*'1. Tier Economics'!$C$17)+'6. Assumptions'!$C$16+'6. Assumptions'!$C$17</f>
        <v>88</v>
      </c>
      <c r="Z15" s="13" t="n">
        <f aca="false">(Z14*'1. Tier Economics'!$C$17)+'6. Assumptions'!$C$16+'6. Assumptions'!$C$17</f>
        <v>88</v>
      </c>
      <c r="AA15" s="13" t="n">
        <f aca="false">(AA14*'1. Tier Economics'!$C$17)+'6. Assumptions'!$C$16+'6. Assumptions'!$C$17</f>
        <v>88</v>
      </c>
      <c r="AB15" s="13" t="n">
        <f aca="false">(AB14*'1. Tier Economics'!$C$17)+'6. Assumptions'!$C$16+'6. Assumptions'!$C$17</f>
        <v>88</v>
      </c>
      <c r="AC15" s="13" t="n">
        <f aca="false">(AC14*'1. Tier Economics'!$C$17)+'6. Assumptions'!$C$16+'6. Assumptions'!$C$17</f>
        <v>88</v>
      </c>
      <c r="AD15" s="13" t="n">
        <f aca="false">(AD14*'1. Tier Economics'!$C$17)+'6. Assumptions'!$C$16+'6. Assumptions'!$C$17</f>
        <v>88</v>
      </c>
      <c r="AE15" s="13" t="n">
        <f aca="false">(AE14*'1. Tier Economics'!$C$17)+'6. Assumptions'!$C$16+'6. Assumptions'!$C$17</f>
        <v>88</v>
      </c>
      <c r="AF15" s="13" t="n">
        <f aca="false">(AF14*'1. Tier Economics'!$C$17)+'6. Assumptions'!$C$16+'6. Assumptions'!$C$17</f>
        <v>88</v>
      </c>
      <c r="AG15" s="13" t="n">
        <f aca="false">(AG14*'1. Tier Economics'!$C$17)+'6. Assumptions'!$C$16+'6. Assumptions'!$C$17</f>
        <v>88</v>
      </c>
      <c r="AH15" s="13" t="n">
        <f aca="false">(AH14*'1. Tier Economics'!$C$17)+'6. Assumptions'!$C$16+'6. Assumptions'!$C$17</f>
        <v>88</v>
      </c>
      <c r="AI15" s="13" t="n">
        <f aca="false">(AI14*'1. Tier Economics'!$C$17)+'6. Assumptions'!$C$16+'6. Assumptions'!$C$17</f>
        <v>88</v>
      </c>
      <c r="AJ15" s="13" t="n">
        <f aca="false">(AJ14*'1. Tier Economics'!$C$17)+'6. Assumptions'!$C$16+'6. Assumptions'!$C$17</f>
        <v>88</v>
      </c>
      <c r="AK15" s="13" t="n">
        <f aca="false">(AK14*'1. Tier Economics'!$C$17)+'6. Assumptions'!$C$16+'6. Assumptions'!$C$17</f>
        <v>88</v>
      </c>
      <c r="AL15" s="13" t="n">
        <f aca="false">(AL14*'1. Tier Economics'!$C$17)+'6. Assumptions'!$C$16+'6. Assumptions'!$C$17</f>
        <v>88</v>
      </c>
    </row>
    <row r="16" customFormat="false" ht="15" hidden="false" customHeight="false" outlineLevel="0" collapsed="false">
      <c r="B16" s="0" t="s">
        <v>226</v>
      </c>
      <c r="C16" s="13" t="n">
        <f aca="false">C10*C15</f>
        <v>176</v>
      </c>
      <c r="D16" s="13" t="n">
        <f aca="false">D10*D15</f>
        <v>440</v>
      </c>
      <c r="E16" s="13" t="n">
        <f aca="false">E10*E15</f>
        <v>695.2</v>
      </c>
      <c r="F16" s="13" t="n">
        <f aca="false">F10*F15</f>
        <v>1038.4</v>
      </c>
      <c r="G16" s="13" t="n">
        <f aca="false">G10*G15</f>
        <v>1372.8</v>
      </c>
      <c r="H16" s="13" t="n">
        <f aca="false">H10*H15</f>
        <v>1795.2</v>
      </c>
      <c r="I16" s="13" t="n">
        <f aca="false">I10*I15</f>
        <v>2208.8</v>
      </c>
      <c r="J16" s="13" t="n">
        <f aca="false">J10*J15</f>
        <v>2613.6</v>
      </c>
      <c r="K16" s="13" t="n">
        <f aca="false">K10*K15</f>
        <v>3106.4</v>
      </c>
      <c r="L16" s="13" t="n">
        <f aca="false">L10*L15</f>
        <v>3590.4</v>
      </c>
      <c r="M16" s="13" t="n">
        <f aca="false">M10*M15</f>
        <v>4065.6</v>
      </c>
      <c r="N16" s="13" t="n">
        <f aca="false">N10*N15</f>
        <v>4532</v>
      </c>
      <c r="O16" s="13" t="n">
        <f aca="false">O10*O15</f>
        <v>4989.6</v>
      </c>
      <c r="P16" s="13" t="n">
        <f aca="false">P10*P15</f>
        <v>5438.4</v>
      </c>
      <c r="Q16" s="13" t="n">
        <f aca="false">Q10*Q15</f>
        <v>5975.2</v>
      </c>
      <c r="R16" s="13" t="n">
        <f aca="false">R10*R15</f>
        <v>6503.2</v>
      </c>
      <c r="S16" s="13" t="n">
        <f aca="false">S10*S15</f>
        <v>7022.4</v>
      </c>
      <c r="T16" s="13" t="n">
        <f aca="false">T10*T15</f>
        <v>7532.8</v>
      </c>
      <c r="U16" s="13" t="n">
        <f aca="false">U10*U15</f>
        <v>8122.4</v>
      </c>
      <c r="V16" s="13" t="n">
        <f aca="false">V10*V15</f>
        <v>8703.2</v>
      </c>
      <c r="W16" s="13" t="n">
        <f aca="false">W10*W15</f>
        <v>9275.2</v>
      </c>
      <c r="X16" s="13" t="n">
        <f aca="false">X10*X15</f>
        <v>9838.4</v>
      </c>
      <c r="Y16" s="13" t="n">
        <f aca="false">Y10*Y15</f>
        <v>10392.8</v>
      </c>
      <c r="Z16" s="13" t="n">
        <f aca="false">Z10*Z15</f>
        <v>10938.4</v>
      </c>
      <c r="AA16" s="13" t="n">
        <f aca="false">AA10*AA15</f>
        <v>11475.2</v>
      </c>
      <c r="AB16" s="13" t="n">
        <f aca="false">AB10*AB15</f>
        <v>12003.2</v>
      </c>
      <c r="AC16" s="13" t="n">
        <f aca="false">AC10*AC15</f>
        <v>12531.2</v>
      </c>
      <c r="AD16" s="13" t="n">
        <f aca="false">AD10*AD15</f>
        <v>13138.4</v>
      </c>
      <c r="AE16" s="13" t="n">
        <f aca="false">AE10*AE15</f>
        <v>13736.8</v>
      </c>
      <c r="AF16" s="13" t="n">
        <f aca="false">AF10*AF15</f>
        <v>14326.4</v>
      </c>
      <c r="AG16" s="13" t="n">
        <f aca="false">AG10*AG15</f>
        <v>14907.2</v>
      </c>
      <c r="AH16" s="13" t="n">
        <f aca="false">AH10*AH15</f>
        <v>15479.2</v>
      </c>
      <c r="AI16" s="13" t="n">
        <f aca="false">AI10*AI15</f>
        <v>16042.4</v>
      </c>
      <c r="AJ16" s="13" t="n">
        <f aca="false">AJ10*AJ15</f>
        <v>16684.8</v>
      </c>
      <c r="AK16" s="13" t="n">
        <f aca="false">AK10*AK15</f>
        <v>17318.4</v>
      </c>
      <c r="AL16" s="13" t="n">
        <f aca="false">AL10*AL15</f>
        <v>17934.4</v>
      </c>
    </row>
    <row r="17" customFormat="false" ht="15" hidden="false" customHeight="false" outlineLevel="0" collapsed="false">
      <c r="B17" s="0" t="s">
        <v>227</v>
      </c>
      <c r="C17" s="13" t="n">
        <f aca="false">'6. Assumptions'!$C$12+IF(C10&gt;='6. Assumptions'!$C$13,'6. Assumptions'!$C$14/12,0)</f>
        <v>4000</v>
      </c>
      <c r="D17" s="13" t="n">
        <f aca="false">'6. Assumptions'!$C$12+IF(D10&gt;='6. Assumptions'!$C$13,'6. Assumptions'!$C$14/12,0)</f>
        <v>4000</v>
      </c>
      <c r="E17" s="13" t="n">
        <f aca="false">'6. Assumptions'!$C$12+IF(E10&gt;='6. Assumptions'!$C$13,'6. Assumptions'!$C$14/12,0)</f>
        <v>4000</v>
      </c>
      <c r="F17" s="13" t="n">
        <f aca="false">'6. Assumptions'!$C$12+IF(F10&gt;='6. Assumptions'!$C$13,'6. Assumptions'!$C$14/12,0)</f>
        <v>4000</v>
      </c>
      <c r="G17" s="13" t="n">
        <f aca="false">'6. Assumptions'!$C$12+IF(G10&gt;='6. Assumptions'!$C$13,'6. Assumptions'!$C$14/12,0)</f>
        <v>4000</v>
      </c>
      <c r="H17" s="13" t="n">
        <f aca="false">'6. Assumptions'!$C$12+IF(H10&gt;='6. Assumptions'!$C$13,'6. Assumptions'!$C$14/12,0)</f>
        <v>4000</v>
      </c>
      <c r="I17" s="13" t="n">
        <f aca="false">'6. Assumptions'!$C$12+IF(I10&gt;='6. Assumptions'!$C$13,'6. Assumptions'!$C$14/12,0)</f>
        <v>4000</v>
      </c>
      <c r="J17" s="13" t="n">
        <f aca="false">'6. Assumptions'!$C$12+IF(J10&gt;='6. Assumptions'!$C$13,'6. Assumptions'!$C$14/12,0)</f>
        <v>4000</v>
      </c>
      <c r="K17" s="13" t="n">
        <f aca="false">'6. Assumptions'!$C$12+IF(K10&gt;='6. Assumptions'!$C$13,'6. Assumptions'!$C$14/12,0)</f>
        <v>4000</v>
      </c>
      <c r="L17" s="13" t="n">
        <f aca="false">'6. Assumptions'!$C$12+IF(L10&gt;='6. Assumptions'!$C$13,'6. Assumptions'!$C$14/12,0)</f>
        <v>4000</v>
      </c>
      <c r="M17" s="13" t="n">
        <f aca="false">'6. Assumptions'!$C$12+IF(M10&gt;='6. Assumptions'!$C$13,'6. Assumptions'!$C$14/12,0)</f>
        <v>4000</v>
      </c>
      <c r="N17" s="13" t="n">
        <f aca="false">'6. Assumptions'!$C$12+IF(N10&gt;='6. Assumptions'!$C$13,'6. Assumptions'!$C$14/12,0)</f>
        <v>7750</v>
      </c>
      <c r="O17" s="13" t="n">
        <f aca="false">'6. Assumptions'!$C$12+IF(O10&gt;='6. Assumptions'!$C$13,'6. Assumptions'!$C$14/12,0)</f>
        <v>7750</v>
      </c>
      <c r="P17" s="13" t="n">
        <f aca="false">'6. Assumptions'!$C$12+IF(P10&gt;='6. Assumptions'!$C$13,'6. Assumptions'!$C$14/12,0)</f>
        <v>7750</v>
      </c>
      <c r="Q17" s="13" t="n">
        <f aca="false">'6. Assumptions'!$C$12+IF(Q10&gt;='6. Assumptions'!$C$13,'6. Assumptions'!$C$14/12,0)</f>
        <v>7750</v>
      </c>
      <c r="R17" s="13" t="n">
        <f aca="false">'6. Assumptions'!$C$12+IF(R10&gt;='6. Assumptions'!$C$13,'6. Assumptions'!$C$14/12,0)</f>
        <v>7750</v>
      </c>
      <c r="S17" s="13" t="n">
        <f aca="false">'6. Assumptions'!$C$12+IF(S10&gt;='6. Assumptions'!$C$13,'6. Assumptions'!$C$14/12,0)</f>
        <v>7750</v>
      </c>
      <c r="T17" s="13" t="n">
        <f aca="false">'6. Assumptions'!$C$12+IF(T10&gt;='6. Assumptions'!$C$13,'6. Assumptions'!$C$14/12,0)</f>
        <v>7750</v>
      </c>
      <c r="U17" s="13" t="n">
        <f aca="false">'6. Assumptions'!$C$12+IF(U10&gt;='6. Assumptions'!$C$13,'6. Assumptions'!$C$14/12,0)</f>
        <v>7750</v>
      </c>
      <c r="V17" s="13" t="n">
        <f aca="false">'6. Assumptions'!$C$12+IF(V10&gt;='6. Assumptions'!$C$13,'6. Assumptions'!$C$14/12,0)</f>
        <v>7750</v>
      </c>
      <c r="W17" s="13" t="n">
        <f aca="false">'6. Assumptions'!$C$12+IF(W10&gt;='6. Assumptions'!$C$13,'6. Assumptions'!$C$14/12,0)</f>
        <v>7750</v>
      </c>
      <c r="X17" s="13" t="n">
        <f aca="false">'6. Assumptions'!$C$12+IF(X10&gt;='6. Assumptions'!$C$13,'6. Assumptions'!$C$14/12,0)</f>
        <v>7750</v>
      </c>
      <c r="Y17" s="13" t="n">
        <f aca="false">'6. Assumptions'!$C$12+IF(Y10&gt;='6. Assumptions'!$C$13,'6. Assumptions'!$C$14/12,0)</f>
        <v>7750</v>
      </c>
      <c r="Z17" s="13" t="n">
        <f aca="false">'6. Assumptions'!$C$12+IF(Z10&gt;='6. Assumptions'!$C$13,'6. Assumptions'!$C$14/12,0)</f>
        <v>7750</v>
      </c>
      <c r="AA17" s="13" t="n">
        <f aca="false">'6. Assumptions'!$C$12+IF(AA10&gt;='6. Assumptions'!$C$13,'6. Assumptions'!$C$14/12,0)</f>
        <v>7750</v>
      </c>
      <c r="AB17" s="13" t="n">
        <f aca="false">'6. Assumptions'!$C$12+IF(AB10&gt;='6. Assumptions'!$C$13,'6. Assumptions'!$C$14/12,0)</f>
        <v>7750</v>
      </c>
      <c r="AC17" s="13" t="n">
        <f aca="false">'6. Assumptions'!$C$12+IF(AC10&gt;='6. Assumptions'!$C$13,'6. Assumptions'!$C$14/12,0)</f>
        <v>7750</v>
      </c>
      <c r="AD17" s="13" t="n">
        <f aca="false">'6. Assumptions'!$C$12+IF(AD10&gt;='6. Assumptions'!$C$13,'6. Assumptions'!$C$14/12,0)</f>
        <v>7750</v>
      </c>
      <c r="AE17" s="13" t="n">
        <f aca="false">'6. Assumptions'!$C$12+IF(AE10&gt;='6. Assumptions'!$C$13,'6. Assumptions'!$C$14/12,0)</f>
        <v>7750</v>
      </c>
      <c r="AF17" s="13" t="n">
        <f aca="false">'6. Assumptions'!$C$12+IF(AF10&gt;='6. Assumptions'!$C$13,'6. Assumptions'!$C$14/12,0)</f>
        <v>7750</v>
      </c>
      <c r="AG17" s="13" t="n">
        <f aca="false">'6. Assumptions'!$C$12+IF(AG10&gt;='6. Assumptions'!$C$13,'6. Assumptions'!$C$14/12,0)</f>
        <v>7750</v>
      </c>
      <c r="AH17" s="13" t="n">
        <f aca="false">'6. Assumptions'!$C$12+IF(AH10&gt;='6. Assumptions'!$C$13,'6. Assumptions'!$C$14/12,0)</f>
        <v>7750</v>
      </c>
      <c r="AI17" s="13" t="n">
        <f aca="false">'6. Assumptions'!$C$12+IF(AI10&gt;='6. Assumptions'!$C$13,'6. Assumptions'!$C$14/12,0)</f>
        <v>7750</v>
      </c>
      <c r="AJ17" s="13" t="n">
        <f aca="false">'6. Assumptions'!$C$12+IF(AJ10&gt;='6. Assumptions'!$C$13,'6. Assumptions'!$C$14/12,0)</f>
        <v>7750</v>
      </c>
      <c r="AK17" s="13" t="n">
        <f aca="false">'6. Assumptions'!$C$12+IF(AK10&gt;='6. Assumptions'!$C$13,'6. Assumptions'!$C$14/12,0)</f>
        <v>7750</v>
      </c>
      <c r="AL17" s="13" t="n">
        <f aca="false">'6. Assumptions'!$C$12+IF(AL10&gt;='6. Assumptions'!$C$13,'6. Assumptions'!$C$14/12,0)</f>
        <v>7750</v>
      </c>
    </row>
    <row r="18" customFormat="false" ht="15" hidden="false" customHeight="false" outlineLevel="0" collapsed="false">
      <c r="B18" s="0" t="s">
        <v>228</v>
      </c>
      <c r="C18" s="13" t="n">
        <f aca="false">C7*'6. Assumptions'!$C$19</f>
        <v>700</v>
      </c>
      <c r="D18" s="13" t="n">
        <f aca="false">D7*'6. Assumptions'!$C$19</f>
        <v>1050</v>
      </c>
      <c r="E18" s="13" t="n">
        <f aca="false">E7*'6. Assumptions'!$C$19</f>
        <v>1050</v>
      </c>
      <c r="F18" s="13" t="n">
        <f aca="false">F7*'6. Assumptions'!$C$19</f>
        <v>1400</v>
      </c>
      <c r="G18" s="13" t="n">
        <f aca="false">G7*'6. Assumptions'!$C$19</f>
        <v>1400</v>
      </c>
      <c r="H18" s="13" t="n">
        <f aca="false">H7*'6. Assumptions'!$C$19</f>
        <v>1750</v>
      </c>
      <c r="I18" s="13" t="n">
        <f aca="false">I7*'6. Assumptions'!$C$19</f>
        <v>1750</v>
      </c>
      <c r="J18" s="13" t="n">
        <f aca="false">J7*'6. Assumptions'!$C$19</f>
        <v>1750</v>
      </c>
      <c r="K18" s="13" t="n">
        <f aca="false">K7*'6. Assumptions'!$C$19</f>
        <v>2100</v>
      </c>
      <c r="L18" s="13" t="n">
        <f aca="false">L7*'6. Assumptions'!$C$19</f>
        <v>2100</v>
      </c>
      <c r="M18" s="13" t="n">
        <f aca="false">M7*'6. Assumptions'!$C$19</f>
        <v>2100</v>
      </c>
      <c r="N18" s="13" t="n">
        <f aca="false">N7*'6. Assumptions'!$C$19</f>
        <v>2100</v>
      </c>
      <c r="O18" s="13" t="n">
        <f aca="false">O7*'6. Assumptions'!$C$19</f>
        <v>2100</v>
      </c>
      <c r="P18" s="13" t="n">
        <f aca="false">P7*'6. Assumptions'!$C$19</f>
        <v>2100</v>
      </c>
      <c r="Q18" s="13" t="n">
        <f aca="false">Q7*'6. Assumptions'!$C$19</f>
        <v>2450</v>
      </c>
      <c r="R18" s="13" t="n">
        <f aca="false">R7*'6. Assumptions'!$C$19</f>
        <v>2450</v>
      </c>
      <c r="S18" s="13" t="n">
        <f aca="false">S7*'6. Assumptions'!$C$19</f>
        <v>2450</v>
      </c>
      <c r="T18" s="13" t="n">
        <f aca="false">T7*'6. Assumptions'!$C$19</f>
        <v>2450</v>
      </c>
      <c r="U18" s="13" t="n">
        <f aca="false">U7*'6. Assumptions'!$C$19</f>
        <v>2800</v>
      </c>
      <c r="V18" s="13" t="n">
        <f aca="false">V7*'6. Assumptions'!$C$19</f>
        <v>2800</v>
      </c>
      <c r="W18" s="13" t="n">
        <f aca="false">W7*'6. Assumptions'!$C$19</f>
        <v>2800</v>
      </c>
      <c r="X18" s="13" t="n">
        <f aca="false">X7*'6. Assumptions'!$C$19</f>
        <v>2800</v>
      </c>
      <c r="Y18" s="13" t="n">
        <f aca="false">Y7*'6. Assumptions'!$C$19</f>
        <v>2800</v>
      </c>
      <c r="Z18" s="13" t="n">
        <f aca="false">Z7*'6. Assumptions'!$C$19</f>
        <v>2800</v>
      </c>
      <c r="AA18" s="13" t="n">
        <f aca="false">AA7*'6. Assumptions'!$C$19</f>
        <v>2800</v>
      </c>
      <c r="AB18" s="13" t="n">
        <f aca="false">AB7*'6. Assumptions'!$C$19</f>
        <v>2800</v>
      </c>
      <c r="AC18" s="13" t="n">
        <f aca="false">AC7*'6. Assumptions'!$C$19</f>
        <v>2800</v>
      </c>
      <c r="AD18" s="13" t="n">
        <f aca="false">AD7*'6. Assumptions'!$C$19</f>
        <v>3150</v>
      </c>
      <c r="AE18" s="13" t="n">
        <f aca="false">AE7*'6. Assumptions'!$C$19</f>
        <v>3150</v>
      </c>
      <c r="AF18" s="13" t="n">
        <f aca="false">AF7*'6. Assumptions'!$C$19</f>
        <v>3150</v>
      </c>
      <c r="AG18" s="13" t="n">
        <f aca="false">AG7*'6. Assumptions'!$C$19</f>
        <v>3150</v>
      </c>
      <c r="AH18" s="13" t="n">
        <f aca="false">AH7*'6. Assumptions'!$C$19</f>
        <v>3150</v>
      </c>
      <c r="AI18" s="13" t="n">
        <f aca="false">AI7*'6. Assumptions'!$C$19</f>
        <v>3150</v>
      </c>
      <c r="AJ18" s="13" t="n">
        <f aca="false">AJ7*'6. Assumptions'!$C$19</f>
        <v>3500</v>
      </c>
      <c r="AK18" s="13" t="n">
        <f aca="false">AK7*'6. Assumptions'!$C$19</f>
        <v>3500</v>
      </c>
      <c r="AL18" s="13" t="n">
        <f aca="false">AL7*'6. Assumptions'!$C$19</f>
        <v>3500</v>
      </c>
    </row>
    <row r="20" customFormat="false" ht="15" hidden="false" customHeight="false" outlineLevel="0" collapsed="false">
      <c r="B20" s="19" t="s">
        <v>229</v>
      </c>
      <c r="C20" s="9" t="n">
        <f aca="false">C13-C16-C17-C18</f>
        <v>-4152</v>
      </c>
      <c r="D20" s="9" t="n">
        <f aca="false">D13-D16-D17-D18</f>
        <v>-3680</v>
      </c>
      <c r="E20" s="9" t="n">
        <f aca="false">E13-E16-E17-E18</f>
        <v>-2885.4</v>
      </c>
      <c r="F20" s="9" t="n">
        <f aca="false">F13-F16-F17-F18</f>
        <v>-2166.8</v>
      </c>
      <c r="G20" s="9" t="n">
        <f aca="false">G13-G16-G17-G18</f>
        <v>-1125.6</v>
      </c>
      <c r="H20" s="9" t="n">
        <f aca="false">H13-H16-H17-H18</f>
        <v>-160.4</v>
      </c>
      <c r="I20" s="9" t="n">
        <f aca="false">I13-I16-I17-I18</f>
        <v>1127.4</v>
      </c>
      <c r="J20" s="9" t="n">
        <f aca="false">J13-J16-J17-J18</f>
        <v>2387.8</v>
      </c>
      <c r="K20" s="9" t="n">
        <f aca="false">K13-K16-K17-K18</f>
        <v>3572.2</v>
      </c>
      <c r="L20" s="9" t="n">
        <f aca="false">L13-L16-L17-L18</f>
        <v>5079.2</v>
      </c>
      <c r="M20" s="9" t="n">
        <f aca="false">M13-M16-M17-M18</f>
        <v>6558.8</v>
      </c>
      <c r="N20" s="9" t="n">
        <f aca="false">N13-N16-N17-N18</f>
        <v>4261</v>
      </c>
      <c r="O20" s="9" t="n">
        <f aca="false">O13-O16-O17-O18</f>
        <v>5685.8</v>
      </c>
      <c r="P20" s="9" t="n">
        <f aca="false">P13-P16-P17-P18</f>
        <v>7083.2</v>
      </c>
      <c r="Q20" s="9" t="n">
        <f aca="false">Q13-Q16-Q17-Q18</f>
        <v>8404.6</v>
      </c>
      <c r="R20" s="9" t="n">
        <f aca="false">R13-R16-R17-R18</f>
        <v>10048.6</v>
      </c>
      <c r="S20" s="9" t="n">
        <f aca="false">S13-S16-S17-S18</f>
        <v>11665.2</v>
      </c>
      <c r="T20" s="9" t="n">
        <f aca="false">T13-T16-T17-T18</f>
        <v>13254.4</v>
      </c>
      <c r="U20" s="9" t="n">
        <f aca="false">U13-U16-U17-U18</f>
        <v>14740.2</v>
      </c>
      <c r="V20" s="9" t="n">
        <f aca="false">V13-V16-V17-V18</f>
        <v>16548.6</v>
      </c>
      <c r="W20" s="9" t="n">
        <f aca="false">W13-W16-W17-W18</f>
        <v>18329.6</v>
      </c>
      <c r="X20" s="9" t="n">
        <f aca="false">X13-X16-X17-X18</f>
        <v>20083.2</v>
      </c>
      <c r="Y20" s="9" t="n">
        <f aca="false">Y13-Y16-Y17-Y18</f>
        <v>21809.4</v>
      </c>
      <c r="Z20" s="9" t="n">
        <f aca="false">Z13-Z16-Z17-Z18</f>
        <v>23508.2</v>
      </c>
      <c r="AA20" s="9" t="n">
        <f aca="false">AA13-AA16-AA17-AA18</f>
        <v>25179.6</v>
      </c>
      <c r="AB20" s="9" t="n">
        <f aca="false">AB13-AB16-AB17-AB18</f>
        <v>26823.6</v>
      </c>
      <c r="AC20" s="9" t="n">
        <f aca="false">AC13-AC16-AC17-AC18</f>
        <v>28467.6</v>
      </c>
      <c r="AD20" s="9" t="n">
        <f aca="false">AD13-AD16-AD17-AD18</f>
        <v>30008.2</v>
      </c>
      <c r="AE20" s="9" t="n">
        <f aca="false">AE13-AE16-AE17-AE18</f>
        <v>31871.4</v>
      </c>
      <c r="AF20" s="9" t="n">
        <f aca="false">AF13-AF16-AF17-AF18</f>
        <v>33707.2</v>
      </c>
      <c r="AG20" s="9" t="n">
        <f aca="false">AG13-AG16-AG17-AG18</f>
        <v>35515.6</v>
      </c>
      <c r="AH20" s="9" t="n">
        <f aca="false">AH13-AH16-AH17-AH18</f>
        <v>37296.6</v>
      </c>
      <c r="AI20" s="9" t="n">
        <f aca="false">AI13-AI16-AI17-AI18</f>
        <v>39050.2</v>
      </c>
      <c r="AJ20" s="9" t="n">
        <f aca="false">AJ13-AJ16-AJ17-AJ18</f>
        <v>40700.4</v>
      </c>
      <c r="AK20" s="9" t="n">
        <f aca="false">AK13-AK16-AK17-AK18</f>
        <v>42673.2</v>
      </c>
      <c r="AL20" s="9" t="n">
        <f aca="false">AL13-AL16-AL17-AL18</f>
        <v>44591.2</v>
      </c>
    </row>
    <row r="21" customFormat="false" ht="15" hidden="false" customHeight="false" outlineLevel="0" collapsed="false">
      <c r="B21" s="19" t="s">
        <v>230</v>
      </c>
      <c r="C21" s="40" t="n">
        <f aca="false">C20</f>
        <v>-4152</v>
      </c>
      <c r="D21" s="40" t="n">
        <f aca="false">C21+D20</f>
        <v>-7832</v>
      </c>
      <c r="E21" s="40" t="n">
        <f aca="false">D21+E20</f>
        <v>-10717.4</v>
      </c>
      <c r="F21" s="40" t="n">
        <f aca="false">E21+F20</f>
        <v>-12884.2</v>
      </c>
      <c r="G21" s="40" t="n">
        <f aca="false">F21+G20</f>
        <v>-14009.8</v>
      </c>
      <c r="H21" s="40" t="n">
        <f aca="false">G21+H20</f>
        <v>-14170.2</v>
      </c>
      <c r="I21" s="40" t="n">
        <f aca="false">H21+I20</f>
        <v>-13042.8</v>
      </c>
      <c r="J21" s="40" t="n">
        <f aca="false">I21+J20</f>
        <v>-10655</v>
      </c>
      <c r="K21" s="40" t="n">
        <f aca="false">J21+K20</f>
        <v>-7082.8</v>
      </c>
      <c r="L21" s="40" t="n">
        <f aca="false">K21+L20</f>
        <v>-2003.6</v>
      </c>
      <c r="M21" s="40" t="n">
        <f aca="false">L21+M20</f>
        <v>4555.2</v>
      </c>
      <c r="N21" s="40" t="n">
        <f aca="false">M21+N20</f>
        <v>8816.2</v>
      </c>
      <c r="O21" s="40" t="n">
        <f aca="false">N21+O20</f>
        <v>14502</v>
      </c>
      <c r="P21" s="40" t="n">
        <f aca="false">O21+P20</f>
        <v>21585.2</v>
      </c>
      <c r="Q21" s="40" t="n">
        <f aca="false">P21+Q20</f>
        <v>29989.8</v>
      </c>
      <c r="R21" s="40" t="n">
        <f aca="false">Q21+R20</f>
        <v>40038.4</v>
      </c>
      <c r="S21" s="40" t="n">
        <f aca="false">R21+S20</f>
        <v>51703.6</v>
      </c>
      <c r="T21" s="40" t="n">
        <f aca="false">S21+T20</f>
        <v>64958</v>
      </c>
      <c r="U21" s="40" t="n">
        <f aca="false">T21+U20</f>
        <v>79698.2</v>
      </c>
      <c r="V21" s="40" t="n">
        <f aca="false">U21+V20</f>
        <v>96246.8</v>
      </c>
      <c r="W21" s="40" t="n">
        <f aca="false">V21+W20</f>
        <v>114576.4</v>
      </c>
      <c r="X21" s="40" t="n">
        <f aca="false">W21+X20</f>
        <v>134659.6</v>
      </c>
      <c r="Y21" s="40" t="n">
        <f aca="false">X21+Y20</f>
        <v>156469</v>
      </c>
      <c r="Z21" s="40" t="n">
        <f aca="false">Y21+Z20</f>
        <v>179977.2</v>
      </c>
      <c r="AA21" s="40" t="n">
        <f aca="false">Z21+AA20</f>
        <v>205156.8</v>
      </c>
      <c r="AB21" s="40" t="n">
        <f aca="false">AA21+AB20</f>
        <v>231980.4</v>
      </c>
      <c r="AC21" s="40" t="n">
        <f aca="false">AB21+AC20</f>
        <v>260448</v>
      </c>
      <c r="AD21" s="40" t="n">
        <f aca="false">AC21+AD20</f>
        <v>290456.2</v>
      </c>
      <c r="AE21" s="40" t="n">
        <f aca="false">AD21+AE20</f>
        <v>322327.6</v>
      </c>
      <c r="AF21" s="40" t="n">
        <f aca="false">AE21+AF20</f>
        <v>356034.8</v>
      </c>
      <c r="AG21" s="40" t="n">
        <f aca="false">AF21+AG20</f>
        <v>391550.4</v>
      </c>
      <c r="AH21" s="40" t="n">
        <f aca="false">AG21+AH20</f>
        <v>428847</v>
      </c>
      <c r="AI21" s="40" t="n">
        <f aca="false">AH21+AI20</f>
        <v>467897.2</v>
      </c>
      <c r="AJ21" s="40" t="n">
        <f aca="false">AI21+AJ20</f>
        <v>508597.6</v>
      </c>
      <c r="AK21" s="40" t="n">
        <f aca="false">AJ21+AK20</f>
        <v>551270.8</v>
      </c>
      <c r="AL21" s="40" t="n">
        <f aca="false">AK21+AL20</f>
        <v>595862</v>
      </c>
    </row>
    <row r="24" customFormat="false" ht="15" hidden="false" customHeight="false" outlineLevel="0" collapsed="false">
      <c r="B24" s="3" t="s">
        <v>231</v>
      </c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B25" s="0" t="s">
        <v>27</v>
      </c>
      <c r="C25" s="12" t="n">
        <f aca="false">N10</f>
        <v>51.5</v>
      </c>
    </row>
    <row r="26" customFormat="false" ht="15" hidden="false" customHeight="false" outlineLevel="0" collapsed="false">
      <c r="B26" s="0" t="s">
        <v>28</v>
      </c>
      <c r="C26" s="12" t="n">
        <f aca="false">Z10</f>
        <v>124.3</v>
      </c>
    </row>
    <row r="27" customFormat="false" ht="15" hidden="false" customHeight="false" outlineLevel="0" collapsed="false">
      <c r="B27" s="0" t="s">
        <v>29</v>
      </c>
      <c r="C27" s="12" t="n">
        <f aca="false">AL10</f>
        <v>203.8</v>
      </c>
    </row>
    <row r="29" customFormat="false" ht="15" hidden="false" customHeight="false" outlineLevel="0" collapsed="false">
      <c r="B29" s="0" t="s">
        <v>30</v>
      </c>
      <c r="C29" s="9" t="n">
        <f aca="false">SUM(C20:N20)</f>
        <v>8816.20000000001</v>
      </c>
    </row>
    <row r="30" customFormat="false" ht="15" hidden="false" customHeight="false" outlineLevel="0" collapsed="false">
      <c r="B30" s="0" t="s">
        <v>31</v>
      </c>
      <c r="C30" s="9" t="n">
        <f aca="false">SUM(O20:Z20)</f>
        <v>171161</v>
      </c>
    </row>
    <row r="31" customFormat="false" ht="15" hidden="false" customHeight="false" outlineLevel="0" collapsed="false">
      <c r="B31" s="0" t="s">
        <v>32</v>
      </c>
      <c r="C31" s="9" t="n">
        <f aca="false">SUM(AA20:AL20)</f>
        <v>415884.8</v>
      </c>
    </row>
    <row r="33" customFormat="false" ht="15" hidden="false" customHeight="false" outlineLevel="0" collapsed="false">
      <c r="B33" s="25" t="s">
        <v>33</v>
      </c>
      <c r="C33" s="15" t="n">
        <f aca="false">AL21</f>
        <v>595862</v>
      </c>
    </row>
  </sheetData>
  <mergeCells count="1"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50"/>
  </cols>
  <sheetData>
    <row r="2" customFormat="false" ht="22.05" hidden="false" customHeight="false" outlineLevel="0" collapsed="false">
      <c r="B2" s="17" t="s">
        <v>232</v>
      </c>
    </row>
    <row r="3" customFormat="false" ht="15" hidden="false" customHeight="false" outlineLevel="0" collapsed="false">
      <c r="B3" s="2" t="s">
        <v>233</v>
      </c>
    </row>
    <row r="5" customFormat="false" ht="15" hidden="false" customHeight="false" outlineLevel="0" collapsed="false">
      <c r="B5" s="3" t="s">
        <v>234</v>
      </c>
      <c r="C5" s="3"/>
      <c r="D5" s="3"/>
    </row>
    <row r="6" customFormat="false" ht="15" hidden="false" customHeight="false" outlineLevel="0" collapsed="false">
      <c r="B6" s="5" t="s">
        <v>235</v>
      </c>
      <c r="C6" s="21" t="n">
        <v>199</v>
      </c>
      <c r="D6" s="22" t="s">
        <v>236</v>
      </c>
    </row>
    <row r="7" customFormat="false" ht="15" hidden="false" customHeight="false" outlineLevel="0" collapsed="false">
      <c r="B7" s="5" t="s">
        <v>237</v>
      </c>
      <c r="C7" s="21" t="n">
        <v>350</v>
      </c>
      <c r="D7" s="22" t="s">
        <v>238</v>
      </c>
    </row>
    <row r="8" customFormat="false" ht="15" hidden="false" customHeight="false" outlineLevel="0" collapsed="false">
      <c r="B8" s="5" t="s">
        <v>239</v>
      </c>
      <c r="C8" s="21" t="n">
        <v>550</v>
      </c>
      <c r="D8" s="22" t="s">
        <v>240</v>
      </c>
    </row>
    <row r="9" customFormat="false" ht="15" hidden="false" customHeight="false" outlineLevel="0" collapsed="false">
      <c r="B9" s="5" t="s">
        <v>241</v>
      </c>
      <c r="C9" s="21" t="n">
        <v>399</v>
      </c>
      <c r="D9" s="22" t="s">
        <v>242</v>
      </c>
    </row>
    <row r="11" customFormat="false" ht="15" hidden="false" customHeight="false" outlineLevel="0" collapsed="false">
      <c r="B11" s="3" t="s">
        <v>243</v>
      </c>
      <c r="C11" s="3"/>
      <c r="D11" s="3"/>
    </row>
    <row r="12" customFormat="false" ht="15" hidden="false" customHeight="false" outlineLevel="0" collapsed="false">
      <c r="B12" s="5" t="s">
        <v>244</v>
      </c>
      <c r="C12" s="21" t="n">
        <v>4000</v>
      </c>
      <c r="D12" s="22" t="s">
        <v>245</v>
      </c>
    </row>
    <row r="13" customFormat="false" ht="15" hidden="false" customHeight="false" outlineLevel="0" collapsed="false">
      <c r="B13" s="5" t="s">
        <v>246</v>
      </c>
      <c r="C13" s="18" t="n">
        <v>50</v>
      </c>
      <c r="D13" s="22" t="s">
        <v>247</v>
      </c>
    </row>
    <row r="14" customFormat="false" ht="15" hidden="false" customHeight="false" outlineLevel="0" collapsed="false">
      <c r="B14" s="5" t="s">
        <v>248</v>
      </c>
      <c r="C14" s="21" t="n">
        <v>45000</v>
      </c>
      <c r="D14" s="22" t="s">
        <v>249</v>
      </c>
    </row>
    <row r="15" customFormat="false" ht="15" hidden="false" customHeight="false" outlineLevel="0" collapsed="false">
      <c r="B15" s="5" t="s">
        <v>250</v>
      </c>
      <c r="C15" s="18" t="n">
        <v>100</v>
      </c>
      <c r="D15" s="22" t="s">
        <v>251</v>
      </c>
    </row>
    <row r="16" customFormat="false" ht="15" hidden="false" customHeight="false" outlineLevel="0" collapsed="false">
      <c r="B16" s="5" t="s">
        <v>252</v>
      </c>
      <c r="C16" s="41" t="n">
        <v>8</v>
      </c>
      <c r="D16" s="22" t="s">
        <v>253</v>
      </c>
    </row>
    <row r="17" customFormat="false" ht="15" hidden="false" customHeight="false" outlineLevel="0" collapsed="false">
      <c r="B17" s="5" t="s">
        <v>254</v>
      </c>
      <c r="C17" s="41" t="n">
        <v>5</v>
      </c>
      <c r="D17" s="22" t="s">
        <v>255</v>
      </c>
    </row>
    <row r="18" customFormat="false" ht="15" hidden="false" customHeight="false" outlineLevel="0" collapsed="false">
      <c r="B18" s="5" t="s">
        <v>256</v>
      </c>
      <c r="C18" s="33" t="n">
        <v>0</v>
      </c>
      <c r="D18" s="22" t="s">
        <v>257</v>
      </c>
    </row>
    <row r="19" customFormat="false" ht="15" hidden="false" customHeight="false" outlineLevel="0" collapsed="false">
      <c r="B19" s="5" t="s">
        <v>258</v>
      </c>
      <c r="C19" s="21" t="n">
        <v>350</v>
      </c>
      <c r="D19" s="22" t="s">
        <v>259</v>
      </c>
    </row>
    <row r="20" customFormat="false" ht="15" hidden="false" customHeight="false" outlineLevel="0" collapsed="false">
      <c r="B20" s="5" t="s">
        <v>260</v>
      </c>
      <c r="C20" s="33" t="n">
        <v>0.18</v>
      </c>
      <c r="D20" s="22" t="s">
        <v>261</v>
      </c>
    </row>
    <row r="21" customFormat="false" ht="15" hidden="false" customHeight="false" outlineLevel="0" collapsed="false">
      <c r="B21" s="5" t="s">
        <v>262</v>
      </c>
      <c r="C21" s="21" t="n">
        <v>50</v>
      </c>
      <c r="D21" s="22" t="s">
        <v>263</v>
      </c>
    </row>
    <row r="22" customFormat="false" ht="15" hidden="false" customHeight="false" outlineLevel="0" collapsed="false">
      <c r="B22" s="5" t="s">
        <v>264</v>
      </c>
      <c r="C22" s="33" t="n">
        <v>0.5</v>
      </c>
      <c r="D22" s="22" t="s">
        <v>265</v>
      </c>
    </row>
  </sheetData>
  <mergeCells count="2">
    <mergeCell ref="B5:D5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2026-05-06T01:46:44Z</dcterms:created>
  <dc:creator>openpyxl</dc:creator>
  <dc:description/>
  <dc:language>en-US</dc:language>
  <cp:lastModifiedBy/>
  <dcterms:modified xsi:type="dcterms:W3CDTF">2026-05-06T01:50:28Z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